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family val="2"/>
      <color theme="1"/>
      <sz val="11"/>
      <scheme val="minor"/>
    </font>
    <font>
      <name val="Georgia"/>
      <b val="1"/>
      <color rgb="002B2B2B"/>
      <sz val="22"/>
    </font>
    <font>
      <i val="1"/>
      <color rgb="002B2B2B"/>
      <sz val="11"/>
    </font>
    <font>
      <color rgb="002B2B2B"/>
      <sz val="10"/>
    </font>
    <font>
      <b val="1"/>
      <color rgb="00FFFFFF"/>
    </font>
    <font>
      <i val="1"/>
      <color rgb="00C0563A"/>
      <sz val="9"/>
    </font>
    <font>
      <color rgb="002B2B2B"/>
      <sz val="9"/>
    </font>
    <font>
      <b val="1"/>
      <color rgb="002B2B2B"/>
    </font>
    <font>
      <b val="1"/>
      <color rgb="002B2B2B"/>
      <sz val="14"/>
    </font>
    <font>
      <b val="1"/>
      <color rgb="00C0563A"/>
    </font>
    <font>
      <i val="1"/>
      <color rgb="007A7468"/>
      <sz val="8"/>
    </font>
  </fonts>
  <fills count="6">
    <fill>
      <patternFill/>
    </fill>
    <fill>
      <patternFill patternType="gray125"/>
    </fill>
    <fill>
      <patternFill patternType="solid">
        <fgColor rgb="00F4EFE6"/>
      </patternFill>
    </fill>
    <fill>
      <patternFill patternType="solid">
        <fgColor rgb="008FA98B"/>
      </patternFill>
    </fill>
    <fill>
      <patternFill patternType="solid">
        <fgColor rgb="00FFFFFF"/>
      </patternFill>
    </fill>
    <fill>
      <patternFill patternType="solid">
        <fgColor rgb="00DCE8D5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2" borderId="1" pivotButton="0" quotePrefix="0" xfId="0"/>
    <xf numFmtId="164" fontId="0" fillId="4" borderId="1" pivotButton="0" quotePrefix="0" xfId="0"/>
    <xf numFmtId="0" fontId="5" fillId="2" borderId="0" pivotButton="0" quotePrefix="0" xfId="0"/>
    <xf numFmtId="0" fontId="7" fillId="4" borderId="1" pivotButton="0" quotePrefix="0" xfId="0"/>
    <xf numFmtId="0" fontId="6" fillId="2" borderId="0" applyAlignment="1" pivotButton="0" quotePrefix="0" xfId="0">
      <alignment vertical="center" wrapText="1"/>
    </xf>
    <xf numFmtId="1" fontId="9" fillId="4" borderId="1" pivotButton="0" quotePrefix="0" xfId="0"/>
    <xf numFmtId="0" fontId="8" fillId="5" borderId="1" pivotButton="0" quotePrefix="0" xfId="0"/>
    <xf numFmtId="164" fontId="8" fillId="5" borderId="1" pivotButton="0" quotePrefix="0" xfId="0"/>
    <xf numFmtId="0" fontId="9" fillId="2" borderId="0" pivotButton="0" quotePrefix="0" xfId="0"/>
    <xf numFmtId="0" fontId="0" fillId="2" borderId="0" applyAlignment="1" pivotButton="0" quotePrefix="0" xfId="0">
      <alignment wrapText="1"/>
    </xf>
    <xf numFmtId="0" fontId="10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1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46" customWidth="1" min="4" max="4"/>
  </cols>
  <sheetData>
    <row r="1">
      <c r="A1" s="1" t="n"/>
      <c r="B1" s="1" t="n"/>
      <c r="C1" s="1" t="n"/>
      <c r="D1" s="1" t="n"/>
      <c r="E1" s="1" t="n"/>
    </row>
    <row r="2">
      <c r="A2" s="1" t="n"/>
      <c r="B2" s="2" t="inlineStr">
        <is>
          <t>Lowest-Week Calculator</t>
        </is>
      </c>
      <c r="C2" s="1" t="n"/>
      <c r="D2" s="1" t="n"/>
      <c r="E2" s="1" t="n"/>
    </row>
    <row r="3">
      <c r="A3" s="1" t="n"/>
      <c r="B3" s="3" t="inlineStr">
        <is>
          <t>Find the weekly number you can always count on, even when every paycheck is different.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4" t="inlineStr">
        <is>
          <t>1. Type what you earned each week (rough is fine). 2. Read your safe number in the green box.</t>
        </is>
      </c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5" t="inlineStr">
        <is>
          <t>Week</t>
        </is>
      </c>
      <c r="C7" s="5" t="inlineStr">
        <is>
          <t>Take-home pay ($)</t>
        </is>
      </c>
      <c r="D7" s="1" t="n"/>
      <c r="E7" s="1" t="n"/>
    </row>
    <row r="8">
      <c r="A8" s="1" t="n"/>
      <c r="B8" s="6" t="inlineStr">
        <is>
          <t>Week 1</t>
        </is>
      </c>
      <c r="C8" s="7" t="n">
        <v>620</v>
      </c>
      <c r="D8" s="8" t="inlineStr">
        <is>
          <t>Example numbers. Replace them with yours.</t>
        </is>
      </c>
      <c r="E8" s="1" t="n"/>
    </row>
    <row r="9">
      <c r="A9" s="1" t="n"/>
      <c r="B9" s="6" t="inlineStr">
        <is>
          <t>Week 2</t>
        </is>
      </c>
      <c r="C9" s="7" t="n">
        <v>380</v>
      </c>
      <c r="D9" s="1" t="n"/>
      <c r="E9" s="1" t="n"/>
    </row>
    <row r="10">
      <c r="A10" s="1" t="n"/>
      <c r="B10" s="6" t="inlineStr">
        <is>
          <t>Week 3</t>
        </is>
      </c>
      <c r="C10" s="7" t="n">
        <v>540</v>
      </c>
      <c r="D10" s="1" t="n"/>
      <c r="E10" s="1" t="n"/>
    </row>
    <row r="11">
      <c r="A11" s="1" t="n"/>
      <c r="B11" s="6" t="inlineStr">
        <is>
          <t>Week 4</t>
        </is>
      </c>
      <c r="C11" s="7" t="n">
        <v>290</v>
      </c>
      <c r="D11" s="1" t="n"/>
      <c r="E11" s="1" t="n"/>
    </row>
    <row r="12">
      <c r="A12" s="1" t="n"/>
      <c r="B12" s="6" t="inlineStr">
        <is>
          <t>Week 5</t>
        </is>
      </c>
      <c r="C12" s="7" t="n">
        <v>710</v>
      </c>
      <c r="D12" s="1" t="n"/>
      <c r="E12" s="1" t="n"/>
    </row>
    <row r="13">
      <c r="A13" s="1" t="n"/>
      <c r="B13" s="6" t="inlineStr">
        <is>
          <t>Week 6</t>
        </is>
      </c>
      <c r="C13" s="7" t="n">
        <v>450</v>
      </c>
      <c r="D13" s="1" t="n"/>
      <c r="E13" s="1" t="n"/>
    </row>
    <row r="14">
      <c r="A14" s="1" t="n"/>
      <c r="B14" s="6" t="inlineStr">
        <is>
          <t>Week 7</t>
        </is>
      </c>
      <c r="C14" s="7" t="n">
        <v>330</v>
      </c>
      <c r="D14" s="1" t="n"/>
      <c r="E14" s="1" t="n"/>
    </row>
    <row r="15">
      <c r="A15" s="1" t="n"/>
      <c r="B15" s="6" t="inlineStr">
        <is>
          <t>Week 8 (most recent)</t>
        </is>
      </c>
      <c r="C15" s="7" t="n">
        <v>600</v>
      </c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9" t="inlineStr">
        <is>
          <t>Your average week</t>
        </is>
      </c>
      <c r="C18" s="7">
        <f>IF(COUNT(C8:C15)&lt;3,"",AVERAGE(C8:C15))</f>
        <v/>
      </c>
      <c r="D18" s="10" t="inlineStr">
        <is>
          <t>What most budgets use. It hides your slow weeks.</t>
        </is>
      </c>
      <c r="E18" s="1" t="n"/>
    </row>
    <row r="19">
      <c r="A19" s="1" t="n"/>
      <c r="B19" s="9" t="inlineStr">
        <is>
          <t>Weeks below your average</t>
        </is>
      </c>
      <c r="C19" s="11">
        <f>IF(COUNT(C8:C15)&lt;3,"",COUNTIF(C8:C15,"&lt;"&amp;C18))</f>
        <v/>
      </c>
      <c r="D19" s="10" t="inlineStr">
        <is>
          <t>These are the weeks an average-based budget comes up short.</t>
        </is>
      </c>
      <c r="E19" s="1" t="n"/>
    </row>
    <row r="20">
      <c r="A20" s="1" t="n"/>
      <c r="B20" s="1" t="n"/>
      <c r="C20" s="1" t="n"/>
      <c r="D20" s="1" t="n"/>
      <c r="E20" s="1" t="n"/>
    </row>
    <row r="21" ht="30" customHeight="1">
      <c r="A21" s="1" t="n"/>
      <c r="B21" s="12" t="inlineStr">
        <is>
          <t>YOUR SAFE WEEKLY NUMBER</t>
        </is>
      </c>
      <c r="C21" s="13">
        <f>IF(COUNT(C8:C15)&lt;3,"Type at least 3 weeks",(SMALL(C8:C15,1)+SMALL(C8:C15,2)+SMALL(C8:C15,3))/3)</f>
        <v/>
      </c>
      <c r="D21" s="10" t="inlineStr">
        <is>
          <t>The average of your 3 lowest weeks. Plan your must-pay bills around this.</t>
        </is>
      </c>
      <c r="E21" s="1" t="n"/>
    </row>
    <row r="22">
      <c r="A22" s="1" t="n"/>
      <c r="B22" s="9" t="inlineStr">
        <is>
          <t>Safe number per month</t>
        </is>
      </c>
      <c r="C22" s="7">
        <f>IF(ISNUMBER(C21),C21*52/12,"")</f>
        <v/>
      </c>
      <c r="D22" s="10" t="inlineStr">
        <is>
          <t>Weekly safe number x 52 weeks / 12 months.</t>
        </is>
      </c>
      <c r="E22" s="1" t="n"/>
    </row>
    <row r="23">
      <c r="A23" s="1" t="n"/>
      <c r="B23" s="9" t="inlineStr">
        <is>
          <t>Extra in an average week</t>
        </is>
      </c>
      <c r="C23" s="7">
        <f>IF(ISNUMBER(C21),C18-C21,"")</f>
        <v/>
      </c>
      <c r="D23" s="10" t="inlineStr">
        <is>
          <t>In a typical week, this much can go to your cushion for slow weeks.</t>
        </is>
      </c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4" t="inlineStr">
        <is>
          <t>Want the sheet that tells you what to do with this number every payday?</t>
        </is>
      </c>
      <c r="C26" s="1" t="n"/>
      <c r="D26" s="1" t="n"/>
      <c r="E26" s="1" t="n"/>
    </row>
    <row r="27" ht="32" customHeight="1">
      <c r="A27" s="1" t="n"/>
      <c r="B27" s="15" t="inlineStr">
        <is>
          <t>The Uneven Paycheck Kit splits every paycheck into bills set-aside, tax jar, safe to spend and cushion, with a bills calendar and a rent-week plan.</t>
        </is>
      </c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6" t="inlineStr">
        <is>
          <t>Made by Nora, an AI creator. Template built and tested by a real human. Not tax, debt or investing advice.</t>
        </is>
      </c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</sheetData>
  <mergeCells count="1">
    <mergeCell ref="B27:D27"/>
  </mergeCells>
  <conditionalFormatting sqref="C19">
    <cfRule type="expression" priority="1" dxfId="0">
      <formula>AND(ISNUMBER(C19),C19&gt;0)</formula>
    </cfRule>
  </conditionalFormatting>
  <dataValidations count="1">
    <dataValidation sqref="C8:C15" showDropDown="0" showInputMessage="0" showErrorMessage="1" allowBlank="1" errorTitle="Numbers only" error="Type a dollar amount, like 450." type="decimal" operator="between">
      <formula1>0</formula1>
      <formula2>100000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2026-10-17T15:27:44Z</dcterms:created>
  <dcterms:modified xmlns:dcterms="http://purl.org/dc/terms/" xmlns:xsi="http://www.w3.org/2001/XMLSchema-instance" xsi:type="dcterms:W3CDTF">2026-10-17T15:27:44Z</dcterms:modified>
</cp:coreProperties>
</file>