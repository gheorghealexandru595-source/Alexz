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aseline" sheetId="2" state="visible" r:id="rId2"/>
    <sheet xmlns:r="http://schemas.openxmlformats.org/officeDocument/2006/relationships" name="Bills" sheetId="3" state="visible" r:id="rId3"/>
    <sheet xmlns:r="http://schemas.openxmlformats.org/officeDocument/2006/relationships" name="This Week" sheetId="4" state="visible" r:id="rId4"/>
    <sheet xmlns:r="http://schemas.openxmlformats.org/officeDocument/2006/relationships" name="Year View" sheetId="5" state="visible" r:id="rId5"/>
    <sheet xmlns:r="http://schemas.openxmlformats.org/officeDocument/2006/relationships" name="Cushion" sheetId="6" state="visible" r:id="rId6"/>
    <sheet xmlns:r="http://schemas.openxmlformats.org/officeDocument/2006/relationships" name="Rent Week Plan" sheetId="7" state="visible" r:id="rId7"/>
  </sheets>
  <definedNames/>
  <calcPr calcId="124519" fullCalcOnLoad="1"/>
</workbook>
</file>

<file path=xl/styles.xml><?xml version="1.0" encoding="utf-8"?>
<styleSheet xmlns="http://schemas.openxmlformats.org/spreadsheetml/2006/main">
  <numFmts count="3">
    <numFmt numFmtId="164" formatCode="&quot;$&quot;#,##0.00"/>
    <numFmt numFmtId="165" formatCode="mmm d"/>
    <numFmt numFmtId="166" formatCode="0.0"/>
  </numFmts>
  <fonts count="12">
    <font>
      <name val="Calibri"/>
      <family val="2"/>
      <color theme="1"/>
      <sz val="11"/>
      <scheme val="minor"/>
    </font>
    <font>
      <name val="Georgia"/>
      <b val="1"/>
      <color rgb="002B2B2B"/>
      <sz val="22"/>
    </font>
    <font>
      <i val="1"/>
      <color rgb="002B2B2B"/>
      <sz val="11"/>
    </font>
    <font>
      <b val="1"/>
      <color rgb="00C0563A"/>
      <sz val="13"/>
    </font>
    <font>
      <b val="1"/>
      <color rgb="00FFFFFF"/>
      <sz val="11"/>
    </font>
    <font>
      <color rgb="002B2B2B"/>
      <sz val="11"/>
    </font>
    <font>
      <b val="1"/>
      <color rgb="00FFFFFF"/>
    </font>
    <font>
      <i val="1"/>
      <color rgb="00C0563A"/>
      <sz val="9"/>
    </font>
    <font>
      <b val="1"/>
      <color rgb="002B2B2B"/>
      <sz val="11"/>
    </font>
    <font>
      <color rgb="007A7468"/>
      <sz val="9"/>
    </font>
    <font>
      <b val="1"/>
      <color rgb="002B2B2B"/>
      <sz val="13"/>
    </font>
    <font>
      <b val="1"/>
      <color rgb="002B2B2B"/>
      <sz val="14"/>
    </font>
  </fonts>
  <fills count="8">
    <fill>
      <patternFill/>
    </fill>
    <fill>
      <patternFill patternType="gray125"/>
    </fill>
    <fill>
      <patternFill patternType="solid">
        <fgColor rgb="00F4EFE6"/>
      </patternFill>
    </fill>
    <fill>
      <patternFill patternType="solid">
        <fgColor rgb="008FA98B"/>
      </patternFill>
    </fill>
    <fill>
      <patternFill patternType="solid">
        <fgColor rgb="00FFFFFF"/>
      </patternFill>
    </fill>
    <fill>
      <patternFill patternType="solid">
        <fgColor rgb="00DCE8D5"/>
      </patternFill>
    </fill>
    <fill>
      <patternFill patternType="solid">
        <fgColor rgb="00FFF1C9"/>
      </patternFill>
    </fill>
    <fill>
      <patternFill patternType="solid">
        <fgColor rgb="00F6D5CC"/>
      </patternFill>
    </fill>
  </fills>
  <borders count="6">
    <border>
      <left/>
      <right/>
      <top/>
      <bottom/>
      <diagonal/>
    </border>
    <border>
      <left style="thin">
        <color rgb="00D8D2C6"/>
      </left>
      <right style="thin">
        <color rgb="00D8D2C6"/>
      </right>
      <top style="thin">
        <color rgb="00D8D2C6"/>
      </top>
      <bottom style="thin">
        <color rgb="00D8D2C6"/>
      </bottom>
    </border>
    <border>
      <left/>
      <right/>
      <top style="thin">
        <color rgb="00D8D2C6"/>
      </top>
      <bottom/>
      <diagonal/>
    </border>
    <border>
      <left/>
      <right style="thin">
        <color rgb="00D8D2C6"/>
      </right>
      <top style="thin">
        <color rgb="00D8D2C6"/>
      </top>
      <bottom/>
      <diagonal/>
    </border>
    <border>
      <left/>
      <right style="thin">
        <color rgb="00D8D2C6"/>
      </right>
      <top style="thin">
        <color rgb="00D8D2C6"/>
      </top>
      <bottom style="thin">
        <color rgb="00D8D2C6"/>
      </bottom>
      <diagonal/>
    </border>
    <border>
      <left/>
      <right/>
      <top style="thin">
        <color rgb="00D8D2C6"/>
      </top>
      <bottom style="thin">
        <color rgb="00D8D2C6"/>
      </bottom>
      <diagonal/>
    </border>
  </borders>
  <cellStyleXfs count="1">
    <xf numFmtId="0" fontId="0" fillId="0" borderId="0"/>
  </cellStyleXfs>
  <cellXfs count="33">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3" borderId="1" applyAlignment="1" pivotButton="0" quotePrefix="0" xfId="0">
      <alignment horizontal="center" vertical="center"/>
    </xf>
    <xf numFmtId="0" fontId="5" fillId="4" borderId="1" applyAlignment="1" pivotButton="0" quotePrefix="0" xfId="0">
      <alignment vertical="center" wrapText="1"/>
    </xf>
    <xf numFmtId="0" fontId="5" fillId="5" borderId="1" pivotButton="0" quotePrefix="0" xfId="0"/>
    <xf numFmtId="0" fontId="5" fillId="4" borderId="1" pivotButton="0" quotePrefix="0" xfId="0"/>
    <xf numFmtId="0" fontId="5" fillId="6" borderId="1" pivotButton="0" quotePrefix="0" xfId="0"/>
    <xf numFmtId="0" fontId="5" fillId="7" borderId="1" pivotButton="0" quotePrefix="0" xfId="0"/>
    <xf numFmtId="0" fontId="0" fillId="2" borderId="0" applyAlignment="1" pivotButton="0" quotePrefix="0" xfId="0">
      <alignment wrapText="1"/>
    </xf>
    <xf numFmtId="0" fontId="6" fillId="3" borderId="1" applyAlignment="1" pivotButton="0" quotePrefix="0" xfId="0">
      <alignment vertical="center" wrapText="1"/>
    </xf>
    <xf numFmtId="164" fontId="5" fillId="4" borderId="1" pivotButton="0" quotePrefix="0" xfId="0"/>
    <xf numFmtId="0" fontId="7" fillId="2" borderId="0" applyAlignment="1" pivotButton="0" quotePrefix="0" xfId="0">
      <alignment vertical="center" wrapText="1"/>
    </xf>
    <xf numFmtId="0" fontId="8" fillId="4" borderId="1" pivotButton="0" quotePrefix="0" xfId="0"/>
    <xf numFmtId="0" fontId="9" fillId="2" borderId="0" applyAlignment="1" pivotButton="0" quotePrefix="0" xfId="0">
      <alignment vertical="center" wrapText="1"/>
    </xf>
    <xf numFmtId="164" fontId="10" fillId="5" borderId="1" pivotButton="0" quotePrefix="0" xfId="0"/>
    <xf numFmtId="164" fontId="5" fillId="4" borderId="1" applyAlignment="1" pivotButton="0" quotePrefix="0" xfId="0">
      <alignment wrapText="1"/>
    </xf>
    <xf numFmtId="0" fontId="0" fillId="0" borderId="4" pivotButton="0" quotePrefix="0" xfId="0"/>
    <xf numFmtId="9" fontId="5" fillId="4" borderId="1" pivotButton="0" quotePrefix="0" xfId="0"/>
    <xf numFmtId="0" fontId="7" fillId="4" borderId="1" applyAlignment="1" pivotButton="0" quotePrefix="0" xfId="0">
      <alignment vertical="center" wrapText="1"/>
    </xf>
    <xf numFmtId="164" fontId="8" fillId="4" borderId="1" pivotButton="0" quotePrefix="0" xfId="0"/>
    <xf numFmtId="164" fontId="5" fillId="6" borderId="1" pivotButton="0" quotePrefix="0" xfId="0"/>
    <xf numFmtId="164" fontId="11" fillId="4" borderId="1" pivotButton="0" quotePrefix="0" xfId="0"/>
    <xf numFmtId="164" fontId="10" fillId="4" borderId="1" pivotButton="0" quotePrefix="0" xfId="0"/>
    <xf numFmtId="0" fontId="10" fillId="4" borderId="1" applyAlignment="1" pivotButton="0" quotePrefix="0" xfId="0">
      <alignment vertical="center" wrapText="1"/>
    </xf>
    <xf numFmtId="165" fontId="5" fillId="4" borderId="1" pivotButton="0" quotePrefix="0" xfId="0"/>
    <xf numFmtId="164" fontId="5" fillId="2" borderId="1" pivotButton="0" quotePrefix="0" xfId="0"/>
    <xf numFmtId="0" fontId="7" fillId="0" borderId="0" applyAlignment="1" pivotButton="0" quotePrefix="0" xfId="0">
      <alignment vertical="center" wrapText="1"/>
    </xf>
    <xf numFmtId="166" fontId="5" fillId="4" borderId="1" pivotButton="0" quotePrefix="0" xfId="0"/>
    <xf numFmtId="1" fontId="5" fillId="4" borderId="1" pivotButton="0" quotePrefix="0" xfId="0"/>
    <xf numFmtId="0" fontId="0" fillId="0" borderId="5" pivotButton="0" quotePrefix="0" xfId="0"/>
  </cellXfs>
  <cellStyles count="1">
    <cellStyle name="Normal" xfId="0" builtinId="0" hidden="0"/>
  </cellStyles>
  <dxfs count="3">
    <dxf>
      <fill>
        <patternFill patternType="solid">
          <fgColor rgb="00DCE8D5"/>
        </patternFill>
      </fill>
    </dxf>
    <dxf>
      <fill>
        <patternFill patternType="solid">
          <fgColor rgb="00FFF1C9"/>
        </patternFill>
      </fill>
    </dxf>
    <dxf>
      <fill>
        <patternFill patternType="solid">
          <fgColor rgb="00F6D5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Pay vs your safe number</a:t>
            </a:r>
          </a:p>
        </rich>
      </tx>
    </title>
    <plotArea>
      <lineChart>
        <grouping val="standard"/>
        <ser>
          <idx val="0"/>
          <order val="0"/>
          <tx>
            <strRef>
              <f>'Year View'!D5</f>
            </strRef>
          </tx>
          <spPr>
            <a:ln xmlns:a="http://schemas.openxmlformats.org/drawingml/2006/main">
              <a:prstDash val="solid"/>
            </a:ln>
          </spPr>
          <marker>
            <symbol val="none"/>
            <spPr>
              <a:ln xmlns:a="http://schemas.openxmlformats.org/drawingml/2006/main">
                <a:prstDash val="solid"/>
              </a:ln>
            </spPr>
          </marker>
          <cat>
            <numRef>
              <f>'Year View'!$B$6:$B$57</f>
            </numRef>
          </cat>
          <val>
            <numRef>
              <f>'Year View'!$D$6:$D$57</f>
            </numRef>
          </val>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8</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6" customWidth="1" min="2" max="2"/>
    <col width="92" customWidth="1" min="3" max="3"/>
  </cols>
  <sheetData>
    <row r="1">
      <c r="A1" s="1" t="n"/>
      <c r="B1" s="1" t="n"/>
      <c r="C1" s="1" t="n"/>
      <c r="D1" s="1" t="n"/>
      <c r="E1" s="1" t="n"/>
      <c r="F1" s="1" t="n"/>
      <c r="G1" s="1" t="n"/>
      <c r="H1" s="1" t="n"/>
      <c r="I1" s="1" t="n"/>
      <c r="J1" s="1" t="n"/>
    </row>
    <row r="2">
      <c r="A2" s="1" t="n"/>
      <c r="B2" s="2" t="inlineStr">
        <is>
          <t>The Uneven Paycheck Kit</t>
        </is>
      </c>
      <c r="C2" s="1" t="n"/>
      <c r="D2" s="1" t="n"/>
      <c r="E2" s="1" t="n"/>
      <c r="F2" s="1" t="n"/>
      <c r="G2" s="1" t="n"/>
      <c r="H2" s="1" t="n"/>
      <c r="I2" s="1" t="n"/>
      <c r="J2" s="1" t="n"/>
    </row>
    <row r="3">
      <c r="A3" s="1" t="n"/>
      <c r="B3" s="3" t="inlineStr">
        <is>
          <t>Know what you can spend this week, even when every paycheck is different.  v1.0</t>
        </is>
      </c>
      <c r="C3" s="1" t="n"/>
      <c r="D3" s="1" t="n"/>
      <c r="E3" s="1" t="n"/>
      <c r="F3" s="1" t="n"/>
      <c r="G3" s="1" t="n"/>
      <c r="H3" s="1" t="n"/>
      <c r="I3" s="1" t="n"/>
      <c r="J3" s="1" t="n"/>
    </row>
    <row r="4">
      <c r="A4" s="1" t="n"/>
      <c r="B4" s="1" t="n"/>
      <c r="C4" s="1" t="n"/>
      <c r="D4" s="1" t="n"/>
      <c r="E4" s="1" t="n"/>
      <c r="F4" s="1" t="n"/>
      <c r="G4" s="1" t="n"/>
      <c r="H4" s="1" t="n"/>
      <c r="I4" s="1" t="n"/>
      <c r="J4" s="1" t="n"/>
    </row>
    <row r="5">
      <c r="A5" s="1" t="n"/>
      <c r="B5" s="4" t="inlineStr">
        <is>
          <t>Start here (takes about 10 minutes, once)</t>
        </is>
      </c>
      <c r="C5" s="1" t="n"/>
      <c r="D5" s="1" t="n"/>
      <c r="E5" s="1" t="n"/>
      <c r="F5" s="1" t="n"/>
      <c r="G5" s="1" t="n"/>
      <c r="H5" s="1" t="n"/>
      <c r="I5" s="1" t="n"/>
      <c r="J5" s="1" t="n"/>
    </row>
    <row r="6" ht="46" customHeight="1">
      <c r="A6" s="1" t="n"/>
      <c r="B6" s="5" t="inlineStr">
        <is>
          <t>1</t>
        </is>
      </c>
      <c r="C6" s="6" t="inlineStr">
        <is>
          <t>Baseline tab: type your take-home pay for your last 8 to 12 weeks. You get your SAFE WEEKLY NUMBER, the average of your 3 lowest weeks. That's what you plan around, not your best week.</t>
        </is>
      </c>
      <c r="D6" s="1" t="n"/>
      <c r="E6" s="1" t="n"/>
      <c r="F6" s="1" t="n"/>
      <c r="G6" s="1" t="n"/>
      <c r="H6" s="1" t="n"/>
      <c r="I6" s="1" t="n"/>
      <c r="J6" s="1" t="n"/>
    </row>
    <row r="7" ht="46" customHeight="1">
      <c r="A7" s="1" t="n"/>
      <c r="B7" s="5" t="inlineStr">
        <is>
          <t>2</t>
        </is>
      </c>
      <c r="C7" s="6" t="inlineStr">
        <is>
          <t>Bills Calendar tab: list every bill you pay each month (rent, phone, insurance...) with its amount. The sheet works out how much to set aside from every weekly paycheck so bills are always covered.</t>
        </is>
      </c>
      <c r="D7" s="1" t="n"/>
      <c r="E7" s="1" t="n"/>
      <c r="F7" s="1" t="n"/>
      <c r="G7" s="1" t="n"/>
      <c r="H7" s="1" t="n"/>
      <c r="I7" s="1" t="n"/>
      <c r="J7" s="1" t="n"/>
    </row>
    <row r="8" ht="46" customHeight="1">
      <c r="A8" s="1" t="n"/>
      <c r="B8" s="5" t="inlineStr">
        <is>
          <t>3</t>
        </is>
      </c>
      <c r="C8" s="6" t="inlineStr">
        <is>
          <t>Baseline tab, 'Your settings': choose a tax jar % if you want one (leave 0 if taxes are already taken out of your pay) and type how much you already have saved as a cushion.</t>
        </is>
      </c>
      <c r="D8" s="1" t="n"/>
      <c r="E8" s="1" t="n"/>
      <c r="F8" s="1" t="n"/>
      <c r="G8" s="1" t="n"/>
      <c r="H8" s="1" t="n"/>
      <c r="I8" s="1" t="n"/>
      <c r="J8" s="1" t="n"/>
    </row>
    <row r="9" ht="46" customHeight="1">
      <c r="A9" s="1" t="n"/>
      <c r="B9" s="5" t="inlineStr">
        <is>
          <t>4</t>
        </is>
      </c>
      <c r="C9" s="6" t="inlineStr">
        <is>
          <t>Every payday: open This Week, type what you earned, and follow the colour. It tells you the 4 numbers: bills set-aside, tax jar, safe to spend, and how much goes to (or comes from) your cushion.</t>
        </is>
      </c>
      <c r="D9" s="1" t="n"/>
      <c r="E9" s="1" t="n"/>
      <c r="F9" s="1" t="n"/>
      <c r="G9" s="1" t="n"/>
      <c r="H9" s="1" t="n"/>
      <c r="I9" s="1" t="n"/>
      <c r="J9" s="1" t="n"/>
    </row>
    <row r="10" ht="46" customHeight="1">
      <c r="A10" s="1" t="n"/>
      <c r="B10" s="5" t="inlineStr">
        <is>
          <t>5</t>
        </is>
      </c>
      <c r="C10" s="6" t="inlineStr">
        <is>
          <t>Then log that week in Year View so your cushion balance stays up to date. Rent coming up? Use the Rent Week Plan tab.</t>
        </is>
      </c>
      <c r="D10" s="1" t="n"/>
      <c r="E10" s="1" t="n"/>
      <c r="F10" s="1" t="n"/>
      <c r="G10" s="1" t="n"/>
      <c r="H10" s="1" t="n"/>
      <c r="I10" s="1" t="n"/>
      <c r="J10" s="1" t="n"/>
    </row>
    <row r="11">
      <c r="A11" s="1" t="n"/>
      <c r="B11" s="1" t="n"/>
      <c r="C11" s="1" t="n"/>
      <c r="D11" s="1" t="n"/>
      <c r="E11" s="1" t="n"/>
      <c r="F11" s="1" t="n"/>
      <c r="G11" s="1" t="n"/>
      <c r="H11" s="1" t="n"/>
      <c r="I11" s="1" t="n"/>
      <c r="J11" s="1" t="n"/>
    </row>
    <row r="12">
      <c r="A12" s="1" t="n"/>
      <c r="B12" s="1" t="n"/>
      <c r="C12" s="1" t="n"/>
      <c r="D12" s="1" t="n"/>
      <c r="E12" s="1" t="n"/>
      <c r="F12" s="1" t="n"/>
      <c r="G12" s="1" t="n"/>
      <c r="H12" s="1" t="n"/>
      <c r="I12" s="1" t="n"/>
      <c r="J12" s="1" t="n"/>
    </row>
    <row r="13">
      <c r="A13" s="1" t="n"/>
      <c r="B13" s="4" t="inlineStr">
        <is>
          <t>What the colours mean</t>
        </is>
      </c>
      <c r="C13" s="1" t="n"/>
      <c r="D13" s="1" t="n"/>
      <c r="E13" s="1" t="n"/>
      <c r="F13" s="1" t="n"/>
      <c r="G13" s="1" t="n"/>
      <c r="H13" s="1" t="n"/>
      <c r="I13" s="1" t="n"/>
      <c r="J13" s="1" t="n"/>
    </row>
    <row r="14">
      <c r="A14" s="1" t="n"/>
      <c r="B14" s="7" t="inlineStr"/>
      <c r="C14" s="8" t="inlineStr">
        <is>
          <t>GREEN: you're fine. Bills are covered and something goes to your cushion.</t>
        </is>
      </c>
      <c r="D14" s="1" t="n"/>
      <c r="E14" s="1" t="n"/>
      <c r="F14" s="1" t="n"/>
      <c r="G14" s="1" t="n"/>
      <c r="H14" s="1" t="n"/>
      <c r="I14" s="1" t="n"/>
      <c r="J14" s="1" t="n"/>
    </row>
    <row r="15">
      <c r="A15" s="1" t="n"/>
      <c r="B15" s="9" t="inlineStr"/>
      <c r="C15" s="8" t="inlineStr">
        <is>
          <t>YELLOW: slow week. Your cushion covers the gap, that's exactly what it's for.</t>
        </is>
      </c>
      <c r="D15" s="1" t="n"/>
      <c r="E15" s="1" t="n"/>
      <c r="F15" s="1" t="n"/>
      <c r="G15" s="1" t="n"/>
      <c r="H15" s="1" t="n"/>
      <c r="I15" s="1" t="n"/>
      <c r="J15" s="1" t="n"/>
    </row>
    <row r="16">
      <c r="A16" s="1" t="n"/>
      <c r="B16" s="10" t="inlineStr"/>
      <c r="C16" s="8" t="inlineStr">
        <is>
          <t>RED: your cushion can't cover this week. Spend only what the sheet shows and skip extras.</t>
        </is>
      </c>
      <c r="D16" s="1" t="n"/>
      <c r="E16" s="1" t="n"/>
      <c r="F16" s="1" t="n"/>
      <c r="G16" s="1" t="n"/>
      <c r="H16" s="1" t="n"/>
      <c r="I16" s="1" t="n"/>
      <c r="J16" s="1" t="n"/>
    </row>
    <row r="17">
      <c r="A17" s="1" t="n"/>
      <c r="B17" s="1" t="n"/>
      <c r="C17" s="1" t="n"/>
      <c r="D17" s="1" t="n"/>
      <c r="E17" s="1" t="n"/>
      <c r="F17" s="1" t="n"/>
      <c r="G17" s="1" t="n"/>
      <c r="H17" s="1" t="n"/>
      <c r="I17" s="1" t="n"/>
      <c r="J17" s="1" t="n"/>
    </row>
    <row r="18">
      <c r="A18" s="1" t="n"/>
      <c r="B18" s="4" t="inlineStr">
        <is>
          <t>Good to know</t>
        </is>
      </c>
      <c r="C18" s="1" t="n"/>
      <c r="D18" s="1" t="n"/>
      <c r="E18" s="1" t="n"/>
      <c r="F18" s="1" t="n"/>
      <c r="G18" s="1" t="n"/>
      <c r="H18" s="1" t="n"/>
      <c r="I18" s="1" t="n"/>
      <c r="J18" s="1" t="n"/>
    </row>
    <row r="19" ht="30" customHeight="1">
      <c r="A19" s="1" t="n"/>
      <c r="B19" s="1" t="n"/>
      <c r="C19" s="11" t="inlineStr">
        <is>
          <t>•  White cells are yours to type in. Coloured cells calculate by themselves, please don't type over them.</t>
        </is>
      </c>
      <c r="D19" s="1" t="n"/>
      <c r="E19" s="1" t="n"/>
      <c r="F19" s="1" t="n"/>
      <c r="G19" s="1" t="n"/>
      <c r="H19" s="1" t="n"/>
      <c r="I19" s="1" t="n"/>
      <c r="J19" s="1" t="n"/>
    </row>
    <row r="20" ht="30" customHeight="1">
      <c r="A20" s="1" t="n"/>
      <c r="B20" s="1" t="n"/>
      <c r="C20" s="11" t="inlineStr">
        <is>
          <t>•  The example numbers are there so you can see how it works. Replace them with yours.</t>
        </is>
      </c>
      <c r="D20" s="1" t="n"/>
      <c r="E20" s="1" t="n"/>
      <c r="F20" s="1" t="n"/>
      <c r="G20" s="1" t="n"/>
      <c r="H20" s="1" t="n"/>
      <c r="I20" s="1" t="n"/>
      <c r="J20" s="1" t="n"/>
    </row>
    <row r="21" ht="30" customHeight="1">
      <c r="A21" s="1" t="n"/>
      <c r="B21" s="1" t="n"/>
      <c r="C21" s="11" t="inlineStr">
        <is>
          <t>•  Google Sheets: File &gt; Make a copy (or open the file and choose 'Save as Google Sheets'). Works on phone and laptop.</t>
        </is>
      </c>
      <c r="D21" s="1" t="n"/>
      <c r="E21" s="1" t="n"/>
      <c r="F21" s="1" t="n"/>
      <c r="G21" s="1" t="n"/>
      <c r="H21" s="1" t="n"/>
      <c r="I21" s="1" t="n"/>
      <c r="J21" s="1" t="n"/>
    </row>
    <row r="22" ht="30" customHeight="1">
      <c r="A22" s="1" t="n"/>
      <c r="B22" s="1" t="n"/>
      <c r="C22" s="11" t="inlineStr">
        <is>
          <t>•  This is a budgeting tool, not tax, debt or investing advice. For your tax %, ask a tax professional what fits you.</t>
        </is>
      </c>
      <c r="D22" s="1" t="n"/>
      <c r="E22" s="1" t="n"/>
      <c r="F22" s="1" t="n"/>
      <c r="G22" s="1" t="n"/>
      <c r="H22" s="1" t="n"/>
      <c r="I22" s="1" t="n"/>
      <c r="J22" s="1" t="n"/>
    </row>
    <row r="23" ht="30" customHeight="1">
      <c r="A23" s="1" t="n"/>
      <c r="B23" s="1" t="n"/>
      <c r="C23" s="11" t="inlineStr">
        <is>
          <t>•  Made by Nora, an AI creator. Template built and tested by a real human.</t>
        </is>
      </c>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36" customWidth="1" min="2" max="2"/>
    <col width="18" customWidth="1" min="3" max="3"/>
    <col width="58" customWidth="1" min="4" max="4"/>
  </cols>
  <sheetData>
    <row r="1">
      <c r="A1" s="1" t="n"/>
      <c r="B1" s="1" t="n"/>
      <c r="C1" s="1" t="n"/>
      <c r="D1" s="1" t="n"/>
      <c r="E1" s="1" t="n"/>
      <c r="F1" s="1" t="n"/>
      <c r="G1" s="1" t="n"/>
      <c r="H1" s="1" t="n"/>
      <c r="I1" s="1" t="n"/>
      <c r="J1" s="1" t="n"/>
    </row>
    <row r="2">
      <c r="A2" s="1" t="n"/>
      <c r="B2" s="2" t="inlineStr">
        <is>
          <t>Baseline</t>
        </is>
      </c>
      <c r="C2" s="1" t="n"/>
      <c r="D2" s="1" t="n"/>
      <c r="E2" s="1" t="n"/>
      <c r="F2" s="1" t="n"/>
      <c r="G2" s="1" t="n"/>
      <c r="H2" s="1" t="n"/>
      <c r="I2" s="1" t="n"/>
      <c r="J2" s="1" t="n"/>
    </row>
    <row r="3">
      <c r="A3" s="1" t="n"/>
      <c r="B3" s="3" t="inlineStr">
        <is>
          <t>Your safe weekly number: the one you can count on.</t>
        </is>
      </c>
      <c r="C3" s="1" t="n"/>
      <c r="D3" s="1" t="n"/>
      <c r="E3" s="1" t="n"/>
      <c r="F3" s="1" t="n"/>
      <c r="G3" s="1" t="n"/>
      <c r="H3" s="1" t="n"/>
      <c r="I3" s="1" t="n"/>
      <c r="J3" s="1" t="n"/>
    </row>
    <row r="4">
      <c r="A4" s="1" t="n"/>
      <c r="B4" s="1" t="n"/>
      <c r="C4" s="1" t="n"/>
      <c r="D4" s="1" t="n"/>
      <c r="E4" s="1" t="n"/>
      <c r="F4" s="1" t="n"/>
      <c r="G4" s="1" t="n"/>
      <c r="H4" s="1" t="n"/>
      <c r="I4" s="1" t="n"/>
      <c r="J4" s="1" t="n"/>
    </row>
    <row r="5">
      <c r="A5" s="1" t="n"/>
      <c r="B5" s="12" t="inlineStr">
        <is>
          <t>Week</t>
        </is>
      </c>
      <c r="C5" s="12" t="inlineStr">
        <is>
          <t>Take-home pay ($)</t>
        </is>
      </c>
      <c r="D5" s="1" t="n"/>
      <c r="E5" s="1" t="n"/>
      <c r="F5" s="1" t="n"/>
      <c r="G5" s="1" t="n"/>
      <c r="H5" s="1" t="n"/>
      <c r="I5" s="1" t="n"/>
      <c r="J5" s="1" t="n"/>
    </row>
    <row r="6">
      <c r="A6" s="1" t="n"/>
      <c r="B6" s="8" t="inlineStr">
        <is>
          <t>Week 1</t>
        </is>
      </c>
      <c r="C6" s="13" t="n">
        <v>620</v>
      </c>
      <c r="D6" s="14" t="inlineStr">
        <is>
          <t>Example numbers. Replace them with your last 8-12 weeks (rough is fine).</t>
        </is>
      </c>
      <c r="E6" s="1" t="n"/>
      <c r="F6" s="1" t="n"/>
      <c r="G6" s="1" t="n"/>
      <c r="H6" s="1" t="n"/>
      <c r="I6" s="1" t="n"/>
      <c r="J6" s="1" t="n"/>
    </row>
    <row r="7">
      <c r="A7" s="1" t="n"/>
      <c r="B7" s="8" t="inlineStr">
        <is>
          <t>Week 2</t>
        </is>
      </c>
      <c r="C7" s="13" t="n">
        <v>380</v>
      </c>
      <c r="D7" s="1" t="n"/>
      <c r="E7" s="1" t="n"/>
      <c r="F7" s="1" t="n"/>
      <c r="G7" s="1" t="n"/>
      <c r="H7" s="1" t="n"/>
      <c r="I7" s="1" t="n"/>
      <c r="J7" s="1" t="n"/>
    </row>
    <row r="8">
      <c r="A8" s="1" t="n"/>
      <c r="B8" s="8" t="inlineStr">
        <is>
          <t>Week 3</t>
        </is>
      </c>
      <c r="C8" s="13" t="n">
        <v>540</v>
      </c>
      <c r="D8" s="1" t="n"/>
      <c r="E8" s="1" t="n"/>
      <c r="F8" s="1" t="n"/>
      <c r="G8" s="1" t="n"/>
      <c r="H8" s="1" t="n"/>
      <c r="I8" s="1" t="n"/>
      <c r="J8" s="1" t="n"/>
    </row>
    <row r="9">
      <c r="A9" s="1" t="n"/>
      <c r="B9" s="8" t="inlineStr">
        <is>
          <t>Week 4</t>
        </is>
      </c>
      <c r="C9" s="13" t="n">
        <v>290</v>
      </c>
      <c r="D9" s="1" t="n"/>
      <c r="E9" s="1" t="n"/>
      <c r="F9" s="1" t="n"/>
      <c r="G9" s="1" t="n"/>
      <c r="H9" s="1" t="n"/>
      <c r="I9" s="1" t="n"/>
      <c r="J9" s="1" t="n"/>
    </row>
    <row r="10">
      <c r="A10" s="1" t="n"/>
      <c r="B10" s="8" t="inlineStr">
        <is>
          <t>Week 5</t>
        </is>
      </c>
      <c r="C10" s="13" t="n">
        <v>710</v>
      </c>
      <c r="D10" s="1" t="n"/>
      <c r="E10" s="1" t="n"/>
      <c r="F10" s="1" t="n"/>
      <c r="G10" s="1" t="n"/>
      <c r="H10" s="1" t="n"/>
      <c r="I10" s="1" t="n"/>
      <c r="J10" s="1" t="n"/>
    </row>
    <row r="11">
      <c r="A11" s="1" t="n"/>
      <c r="B11" s="8" t="inlineStr">
        <is>
          <t>Week 6</t>
        </is>
      </c>
      <c r="C11" s="13" t="n">
        <v>450</v>
      </c>
      <c r="D11" s="1" t="n"/>
      <c r="E11" s="1" t="n"/>
      <c r="F11" s="1" t="n"/>
      <c r="G11" s="1" t="n"/>
      <c r="H11" s="1" t="n"/>
      <c r="I11" s="1" t="n"/>
      <c r="J11" s="1" t="n"/>
    </row>
    <row r="12">
      <c r="A12" s="1" t="n"/>
      <c r="B12" s="8" t="inlineStr">
        <is>
          <t>Week 7</t>
        </is>
      </c>
      <c r="C12" s="13" t="n">
        <v>330</v>
      </c>
      <c r="D12" s="1" t="n"/>
      <c r="E12" s="1" t="n"/>
      <c r="F12" s="1" t="n"/>
      <c r="G12" s="1" t="n"/>
      <c r="H12" s="1" t="n"/>
      <c r="I12" s="1" t="n"/>
      <c r="J12" s="1" t="n"/>
    </row>
    <row r="13">
      <c r="A13" s="1" t="n"/>
      <c r="B13" s="8" t="inlineStr">
        <is>
          <t>Week 8</t>
        </is>
      </c>
      <c r="C13" s="13" t="n">
        <v>600</v>
      </c>
      <c r="D13" s="1" t="n"/>
      <c r="E13" s="1" t="n"/>
      <c r="F13" s="1" t="n"/>
      <c r="G13" s="1" t="n"/>
      <c r="H13" s="1" t="n"/>
      <c r="I13" s="1" t="n"/>
      <c r="J13" s="1" t="n"/>
    </row>
    <row r="14">
      <c r="A14" s="1" t="n"/>
      <c r="B14" s="8" t="inlineStr">
        <is>
          <t>Week 9</t>
        </is>
      </c>
      <c r="C14" s="13" t="n"/>
      <c r="D14" s="1" t="n"/>
      <c r="E14" s="1" t="n"/>
      <c r="F14" s="1" t="n"/>
      <c r="G14" s="1" t="n"/>
      <c r="H14" s="1" t="n"/>
      <c r="I14" s="1" t="n"/>
      <c r="J14" s="1" t="n"/>
    </row>
    <row r="15">
      <c r="A15" s="1" t="n"/>
      <c r="B15" s="8" t="inlineStr">
        <is>
          <t>Week 10</t>
        </is>
      </c>
      <c r="C15" s="13" t="n"/>
      <c r="D15" s="1" t="n"/>
      <c r="E15" s="1" t="n"/>
      <c r="F15" s="1" t="n"/>
      <c r="G15" s="1" t="n"/>
      <c r="H15" s="1" t="n"/>
      <c r="I15" s="1" t="n"/>
      <c r="J15" s="1" t="n"/>
    </row>
    <row r="16">
      <c r="A16" s="1" t="n"/>
      <c r="B16" s="8" t="inlineStr">
        <is>
          <t>Week 11</t>
        </is>
      </c>
      <c r="C16" s="13" t="n"/>
      <c r="D16" s="1" t="n"/>
      <c r="E16" s="1" t="n"/>
      <c r="F16" s="1" t="n"/>
      <c r="G16" s="1" t="n"/>
      <c r="H16" s="1" t="n"/>
      <c r="I16" s="1" t="n"/>
      <c r="J16" s="1" t="n"/>
    </row>
    <row r="17">
      <c r="A17" s="1" t="n"/>
      <c r="B17" s="8" t="inlineStr">
        <is>
          <t>Week 12</t>
        </is>
      </c>
      <c r="C17" s="13"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5" t="inlineStr">
        <is>
          <t>Your average week</t>
        </is>
      </c>
      <c r="C20" s="13">
        <f>IF(COUNT(C6:C17)&lt;3,"",AVERAGE(C6:C17))</f>
        <v/>
      </c>
      <c r="D20" s="16" t="inlineStr">
        <is>
          <t>What most budgets use. It hides your slow weeks.</t>
        </is>
      </c>
      <c r="E20" s="1" t="n"/>
      <c r="F20" s="1" t="n"/>
      <c r="G20" s="1" t="n"/>
      <c r="H20" s="1" t="n"/>
      <c r="I20" s="1" t="n"/>
      <c r="J20" s="1" t="n"/>
    </row>
    <row r="21">
      <c r="A21" s="1" t="n"/>
      <c r="B21" s="15" t="inlineStr">
        <is>
          <t>SAFE WEEKLY NUMBER</t>
        </is>
      </c>
      <c r="C21" s="17">
        <f>IF(COUNT(C6:C17)&lt;3,"Type at least 3 weeks",(SMALL(C6:C17,1)+SMALL(C6:C17,2)+SMALL(C6:C17,3))/3)</f>
        <v/>
      </c>
      <c r="D21" s="16" t="inlineStr">
        <is>
          <t>Average of your 3 lowest weeks. Everything is planned around this.</t>
        </is>
      </c>
      <c r="E21" s="1" t="n"/>
      <c r="F21" s="1" t="n"/>
      <c r="G21" s="1" t="n"/>
      <c r="H21" s="1" t="n"/>
      <c r="I21" s="1" t="n"/>
      <c r="J21" s="1" t="n"/>
    </row>
    <row r="22">
      <c r="A22" s="1" t="n"/>
      <c r="B22" s="15" t="inlineStr">
        <is>
          <t>Weekly spending allowance</t>
        </is>
      </c>
      <c r="C22" s="13">
        <f>IF(ISNUMBER(C21),MAX(0,C21-Bills!$C$28-C21*C26),"")</f>
        <v/>
      </c>
      <c r="D22" s="16" t="inlineStr">
        <is>
          <t>Safe number minus bills set-aside and tax jar. Groceries, gas, fun: this is your steady weekly amount.</t>
        </is>
      </c>
      <c r="E22" s="1" t="n"/>
      <c r="F22" s="1" t="n"/>
      <c r="G22" s="1" t="n"/>
      <c r="H22" s="1" t="n"/>
      <c r="I22" s="1" t="n"/>
      <c r="J22" s="1" t="n"/>
    </row>
    <row r="23" ht="30" customHeight="1">
      <c r="A23" s="1" t="n"/>
      <c r="B23" s="15" t="inlineStr">
        <is>
          <t>Check</t>
        </is>
      </c>
      <c r="C23" s="18">
        <f>IF(NOT(ISNUMBER(C21)),"",IF(Bills!$C$28+C21*C26&gt;C21,"Bills are higher than your safe number. Look at Rent Week Plan and trim a bill.","Your bills fit inside your safe number."))</f>
        <v/>
      </c>
      <c r="D23" s="19" t="n"/>
      <c r="E23" s="1" t="n"/>
      <c r="F23" s="1" t="n"/>
      <c r="G23" s="1" t="n"/>
      <c r="H23" s="1" t="n"/>
      <c r="I23" s="1" t="n"/>
      <c r="J23" s="1" t="n"/>
    </row>
    <row r="24">
      <c r="A24" s="1" t="n"/>
      <c r="B24" s="1" t="n"/>
      <c r="C24" s="1" t="n"/>
      <c r="D24" s="1" t="n"/>
      <c r="E24" s="1" t="n"/>
      <c r="F24" s="1" t="n"/>
      <c r="G24" s="1" t="n"/>
      <c r="H24" s="1" t="n"/>
      <c r="I24" s="1" t="n"/>
      <c r="J24" s="1" t="n"/>
    </row>
    <row r="25">
      <c r="A25" s="1" t="n"/>
      <c r="B25" s="4" t="inlineStr">
        <is>
          <t>Your settings</t>
        </is>
      </c>
      <c r="C25" s="1" t="n"/>
      <c r="D25" s="1" t="n"/>
      <c r="E25" s="1" t="n"/>
      <c r="F25" s="1" t="n"/>
      <c r="G25" s="1" t="n"/>
      <c r="H25" s="1" t="n"/>
      <c r="I25" s="1" t="n"/>
      <c r="J25" s="1" t="n"/>
    </row>
    <row r="26">
      <c r="A26" s="1" t="n"/>
      <c r="B26" s="8" t="inlineStr">
        <is>
          <t>Tax jar % (0 if taxes come out of your pay)</t>
        </is>
      </c>
      <c r="C26" s="20" t="n">
        <v>0</v>
      </c>
      <c r="D26" s="16" t="inlineStr">
        <is>
          <t>Type 0.25 or 25% for 25%. Not tax advice: ask a tax professional what fits you.</t>
        </is>
      </c>
      <c r="E26" s="1" t="n"/>
      <c r="F26" s="1" t="n"/>
      <c r="G26" s="1" t="n"/>
      <c r="H26" s="1" t="n"/>
      <c r="I26" s="1" t="n"/>
      <c r="J26" s="1" t="n"/>
    </row>
    <row r="27">
      <c r="A27" s="1" t="n"/>
      <c r="B27" s="8" t="inlineStr">
        <is>
          <t>Cushion you already have saved</t>
        </is>
      </c>
      <c r="C27" s="13" t="n">
        <v>200</v>
      </c>
      <c r="D27" s="14" t="inlineStr">
        <is>
          <t>Money set aside for slow weeks. Example: $200.</t>
        </is>
      </c>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mergeCells count="1">
    <mergeCell ref="C23:D23"/>
  </mergeCells>
  <dataValidations count="2">
    <dataValidation sqref="C6:C17 C27" showDropDown="0" showInputMessage="0" showErrorMessage="1" allowBlank="1" errorTitle="Numbers only" error="Type a dollar amount, like 450." type="decimal" operator="between">
      <formula1>0</formula1>
      <formula2>1000000</formula2>
    </dataValidation>
    <dataValidation sqref="C26" showDropDown="0" showInputMessage="0" showErrorMessage="1" allowBlank="1" errorTitle="Percent" error="Use a % between 0% and 60%." type="decimal" operator="between">
      <formula1>0</formula1>
      <formula2>0.6</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30" customWidth="1" min="2" max="2"/>
    <col width="18" customWidth="1" min="3" max="3"/>
    <col width="14" customWidth="1" min="4" max="4"/>
    <col width="44" customWidth="1" min="5" max="5"/>
  </cols>
  <sheetData>
    <row r="1">
      <c r="A1" s="1" t="n"/>
      <c r="B1" s="1" t="n"/>
      <c r="C1" s="1" t="n"/>
      <c r="D1" s="1" t="n"/>
      <c r="E1" s="1" t="n"/>
      <c r="F1" s="1" t="n"/>
      <c r="G1" s="1" t="n"/>
      <c r="H1" s="1" t="n"/>
      <c r="I1" s="1" t="n"/>
      <c r="J1" s="1" t="n"/>
    </row>
    <row r="2">
      <c r="A2" s="1" t="n"/>
      <c r="B2" s="2" t="inlineStr">
        <is>
          <t>Bills Calendar</t>
        </is>
      </c>
      <c r="C2" s="1" t="n"/>
      <c r="D2" s="1" t="n"/>
      <c r="E2" s="1" t="n"/>
      <c r="F2" s="1" t="n"/>
      <c r="G2" s="1" t="n"/>
      <c r="H2" s="1" t="n"/>
      <c r="I2" s="1" t="n"/>
      <c r="J2" s="1" t="n"/>
    </row>
    <row r="3">
      <c r="A3" s="1" t="n"/>
      <c r="B3" s="3" t="inlineStr">
        <is>
          <t>Every bill, its amount and its due day. The sheet spreads them across your paydays.</t>
        </is>
      </c>
      <c r="C3" s="1" t="n"/>
      <c r="D3" s="1" t="n"/>
      <c r="E3" s="1" t="n"/>
      <c r="F3" s="1" t="n"/>
      <c r="G3" s="1" t="n"/>
      <c r="H3" s="1" t="n"/>
      <c r="I3" s="1" t="n"/>
      <c r="J3" s="1" t="n"/>
    </row>
    <row r="4">
      <c r="A4" s="1" t="n"/>
      <c r="B4" s="1" t="n"/>
      <c r="C4" s="1" t="n"/>
      <c r="D4" s="1" t="n"/>
      <c r="E4" s="1" t="n"/>
      <c r="F4" s="1" t="n"/>
      <c r="G4" s="1" t="n"/>
      <c r="H4" s="1" t="n"/>
      <c r="I4" s="1" t="n"/>
      <c r="J4" s="1" t="n"/>
    </row>
    <row r="5">
      <c r="A5" s="1" t="n"/>
      <c r="B5" s="12" t="inlineStr">
        <is>
          <t>Bill</t>
        </is>
      </c>
      <c r="C5" s="12" t="inlineStr">
        <is>
          <t>Amount per month ($)</t>
        </is>
      </c>
      <c r="D5" s="12" t="inlineStr">
        <is>
          <t>Due day (1-31)</t>
        </is>
      </c>
      <c r="E5" s="12" t="inlineStr">
        <is>
          <t>Notes</t>
        </is>
      </c>
      <c r="F5" s="1" t="n"/>
      <c r="G5" s="1" t="n"/>
      <c r="H5" s="1" t="n"/>
      <c r="I5" s="1" t="n"/>
      <c r="J5" s="1" t="n"/>
    </row>
    <row r="6">
      <c r="A6" s="1" t="n"/>
      <c r="B6" s="8" t="inlineStr">
        <is>
          <t>Rent</t>
        </is>
      </c>
      <c r="C6" s="13" t="n">
        <v>750</v>
      </c>
      <c r="D6" s="8" t="n">
        <v>1</v>
      </c>
      <c r="E6" s="21" t="inlineStr">
        <is>
          <t>Example bills. Replace with yours. Groceries and gas are spending, not bills: leave them out.</t>
        </is>
      </c>
      <c r="F6" s="1" t="n"/>
      <c r="G6" s="1" t="n"/>
      <c r="H6" s="1" t="n"/>
      <c r="I6" s="1" t="n"/>
      <c r="J6" s="1" t="n"/>
    </row>
    <row r="7">
      <c r="A7" s="1" t="n"/>
      <c r="B7" s="8" t="inlineStr">
        <is>
          <t>Phone</t>
        </is>
      </c>
      <c r="C7" s="13" t="n">
        <v>45</v>
      </c>
      <c r="D7" s="8" t="n">
        <v>12</v>
      </c>
      <c r="E7" s="8" t="n"/>
      <c r="F7" s="1" t="n"/>
      <c r="G7" s="1" t="n"/>
      <c r="H7" s="1" t="n"/>
      <c r="I7" s="1" t="n"/>
      <c r="J7" s="1" t="n"/>
    </row>
    <row r="8">
      <c r="A8" s="1" t="n"/>
      <c r="B8" s="8" t="inlineStr">
        <is>
          <t>Internet</t>
        </is>
      </c>
      <c r="C8" s="13" t="n">
        <v>50</v>
      </c>
      <c r="D8" s="8" t="n">
        <v>5</v>
      </c>
      <c r="E8" s="8" t="n"/>
      <c r="F8" s="1" t="n"/>
      <c r="G8" s="1" t="n"/>
      <c r="H8" s="1" t="n"/>
      <c r="I8" s="1" t="n"/>
      <c r="J8" s="1" t="n"/>
    </row>
    <row r="9">
      <c r="A9" s="1" t="n"/>
      <c r="B9" s="8" t="inlineStr">
        <is>
          <t>Electric</t>
        </is>
      </c>
      <c r="C9" s="13" t="n">
        <v>70</v>
      </c>
      <c r="D9" s="8" t="n">
        <v>20</v>
      </c>
      <c r="E9" s="8" t="n"/>
      <c r="F9" s="1" t="n"/>
      <c r="G9" s="1" t="n"/>
      <c r="H9" s="1" t="n"/>
      <c r="I9" s="1" t="n"/>
      <c r="J9" s="1" t="n"/>
    </row>
    <row r="10">
      <c r="A10" s="1" t="n"/>
      <c r="B10" s="8" t="inlineStr">
        <is>
          <t>Car insurance</t>
        </is>
      </c>
      <c r="C10" s="13" t="n">
        <v>95</v>
      </c>
      <c r="D10" s="8" t="n">
        <v>18</v>
      </c>
      <c r="E10" s="8" t="n"/>
      <c r="F10" s="1" t="n"/>
      <c r="G10" s="1" t="n"/>
      <c r="H10" s="1" t="n"/>
      <c r="I10" s="1" t="n"/>
      <c r="J10" s="1" t="n"/>
    </row>
    <row r="11">
      <c r="A11" s="1" t="n"/>
      <c r="B11" s="8" t="inlineStr">
        <is>
          <t>Streaming</t>
        </is>
      </c>
      <c r="C11" s="13" t="n">
        <v>20</v>
      </c>
      <c r="D11" s="8" t="n">
        <v>27</v>
      </c>
      <c r="E11" s="8" t="n"/>
      <c r="F11" s="1" t="n"/>
      <c r="G11" s="1" t="n"/>
      <c r="H11" s="1" t="n"/>
      <c r="I11" s="1" t="n"/>
      <c r="J11" s="1" t="n"/>
    </row>
    <row r="12">
      <c r="A12" s="1" t="n"/>
      <c r="B12" s="8" t="n"/>
      <c r="C12" s="13" t="n"/>
      <c r="D12" s="8" t="n"/>
      <c r="E12" s="8" t="n"/>
      <c r="F12" s="1" t="n"/>
      <c r="G12" s="1" t="n"/>
      <c r="H12" s="1" t="n"/>
      <c r="I12" s="1" t="n"/>
      <c r="J12" s="1" t="n"/>
    </row>
    <row r="13">
      <c r="A13" s="1" t="n"/>
      <c r="B13" s="8" t="n"/>
      <c r="C13" s="13" t="n"/>
      <c r="D13" s="8" t="n"/>
      <c r="E13" s="8" t="n"/>
      <c r="F13" s="1" t="n"/>
      <c r="G13" s="1" t="n"/>
      <c r="H13" s="1" t="n"/>
      <c r="I13" s="1" t="n"/>
      <c r="J13" s="1" t="n"/>
    </row>
    <row r="14">
      <c r="A14" s="1" t="n"/>
      <c r="B14" s="8" t="n"/>
      <c r="C14" s="13" t="n"/>
      <c r="D14" s="8" t="n"/>
      <c r="E14" s="8" t="n"/>
      <c r="F14" s="1" t="n"/>
      <c r="G14" s="1" t="n"/>
      <c r="H14" s="1" t="n"/>
      <c r="I14" s="1" t="n"/>
      <c r="J14" s="1" t="n"/>
    </row>
    <row r="15">
      <c r="A15" s="1" t="n"/>
      <c r="B15" s="8" t="n"/>
      <c r="C15" s="13" t="n"/>
      <c r="D15" s="8" t="n"/>
      <c r="E15" s="8" t="n"/>
      <c r="F15" s="1" t="n"/>
      <c r="G15" s="1" t="n"/>
      <c r="H15" s="1" t="n"/>
      <c r="I15" s="1" t="n"/>
      <c r="J15" s="1" t="n"/>
    </row>
    <row r="16">
      <c r="A16" s="1" t="n"/>
      <c r="B16" s="8" t="n"/>
      <c r="C16" s="13" t="n"/>
      <c r="D16" s="8" t="n"/>
      <c r="E16" s="8" t="n"/>
      <c r="F16" s="1" t="n"/>
      <c r="G16" s="1" t="n"/>
      <c r="H16" s="1" t="n"/>
      <c r="I16" s="1" t="n"/>
      <c r="J16" s="1" t="n"/>
    </row>
    <row r="17">
      <c r="A17" s="1" t="n"/>
      <c r="B17" s="8" t="n"/>
      <c r="C17" s="13" t="n"/>
      <c r="D17" s="8" t="n"/>
      <c r="E17" s="8" t="n"/>
      <c r="F17" s="1" t="n"/>
      <c r="G17" s="1" t="n"/>
      <c r="H17" s="1" t="n"/>
      <c r="I17" s="1" t="n"/>
      <c r="J17" s="1" t="n"/>
    </row>
    <row r="18">
      <c r="A18" s="1" t="n"/>
      <c r="B18" s="8" t="n"/>
      <c r="C18" s="13" t="n"/>
      <c r="D18" s="8" t="n"/>
      <c r="E18" s="8" t="n"/>
      <c r="F18" s="1" t="n"/>
      <c r="G18" s="1" t="n"/>
      <c r="H18" s="1" t="n"/>
      <c r="I18" s="1" t="n"/>
      <c r="J18" s="1" t="n"/>
    </row>
    <row r="19">
      <c r="A19" s="1" t="n"/>
      <c r="B19" s="8" t="n"/>
      <c r="C19" s="13" t="n"/>
      <c r="D19" s="8" t="n"/>
      <c r="E19" s="8" t="n"/>
      <c r="F19" s="1" t="n"/>
      <c r="G19" s="1" t="n"/>
      <c r="H19" s="1" t="n"/>
      <c r="I19" s="1" t="n"/>
      <c r="J19" s="1" t="n"/>
    </row>
    <row r="20">
      <c r="A20" s="1" t="n"/>
      <c r="B20" s="8" t="n"/>
      <c r="C20" s="13" t="n"/>
      <c r="D20" s="8" t="n"/>
      <c r="E20" s="8" t="n"/>
      <c r="F20" s="1" t="n"/>
      <c r="G20" s="1" t="n"/>
      <c r="H20" s="1" t="n"/>
      <c r="I20" s="1" t="n"/>
      <c r="J20" s="1" t="n"/>
    </row>
    <row r="21">
      <c r="A21" s="1" t="n"/>
      <c r="B21" s="8" t="n"/>
      <c r="C21" s="13" t="n"/>
      <c r="D21" s="8" t="n"/>
      <c r="E21" s="8" t="n"/>
      <c r="F21" s="1" t="n"/>
      <c r="G21" s="1" t="n"/>
      <c r="H21" s="1" t="n"/>
      <c r="I21" s="1" t="n"/>
      <c r="J21" s="1" t="n"/>
    </row>
    <row r="22">
      <c r="A22" s="1" t="n"/>
      <c r="B22" s="8" t="n"/>
      <c r="C22" s="13" t="n"/>
      <c r="D22" s="8" t="n"/>
      <c r="E22" s="8" t="n"/>
      <c r="F22" s="1" t="n"/>
      <c r="G22" s="1" t="n"/>
      <c r="H22" s="1" t="n"/>
      <c r="I22" s="1" t="n"/>
      <c r="J22" s="1" t="n"/>
    </row>
    <row r="23">
      <c r="A23" s="1" t="n"/>
      <c r="B23" s="8" t="n"/>
      <c r="C23" s="13" t="n"/>
      <c r="D23" s="8" t="n"/>
      <c r="E23" s="8" t="n"/>
      <c r="F23" s="1" t="n"/>
      <c r="G23" s="1" t="n"/>
      <c r="H23" s="1" t="n"/>
      <c r="I23" s="1" t="n"/>
      <c r="J23" s="1" t="n"/>
    </row>
    <row r="24">
      <c r="A24" s="1" t="n"/>
      <c r="B24" s="8" t="n"/>
      <c r="C24" s="13" t="n"/>
      <c r="D24" s="8" t="n"/>
      <c r="E24" s="8" t="n"/>
      <c r="F24" s="1" t="n"/>
      <c r="G24" s="1" t="n"/>
      <c r="H24" s="1" t="n"/>
      <c r="I24" s="1" t="n"/>
      <c r="J24" s="1" t="n"/>
    </row>
    <row r="25">
      <c r="A25" s="1" t="n"/>
      <c r="B25" s="8" t="n"/>
      <c r="C25" s="13" t="n"/>
      <c r="D25" s="8" t="n"/>
      <c r="E25" s="8" t="n"/>
      <c r="F25" s="1" t="n"/>
      <c r="G25" s="1" t="n"/>
      <c r="H25" s="1" t="n"/>
      <c r="I25" s="1" t="n"/>
      <c r="J25" s="1" t="n"/>
    </row>
    <row r="26">
      <c r="A26" s="1" t="n"/>
      <c r="B26" s="1" t="n"/>
      <c r="C26" s="1" t="n"/>
      <c r="D26" s="1" t="n"/>
      <c r="E26" s="1" t="n"/>
      <c r="F26" s="1" t="n"/>
      <c r="G26" s="1" t="n"/>
      <c r="H26" s="1" t="n"/>
      <c r="I26" s="1" t="n"/>
      <c r="J26" s="1" t="n"/>
    </row>
    <row r="27">
      <c r="A27" s="1" t="n"/>
      <c r="B27" s="15" t="inlineStr">
        <is>
          <t>Total bills per month</t>
        </is>
      </c>
      <c r="C27" s="22">
        <f>SUM(C6:C25)</f>
        <v/>
      </c>
      <c r="D27" s="1" t="n"/>
      <c r="E27" s="1" t="n"/>
      <c r="F27" s="1" t="n"/>
      <c r="G27" s="1" t="n"/>
      <c r="H27" s="1" t="n"/>
      <c r="I27" s="1" t="n"/>
      <c r="J27" s="1" t="n"/>
    </row>
    <row r="28">
      <c r="A28" s="1" t="n"/>
      <c r="B28" s="15" t="inlineStr">
        <is>
          <t>Set aside every weekly payday</t>
        </is>
      </c>
      <c r="C28" s="17">
        <f>C27*12/52</f>
        <v/>
      </c>
      <c r="D28" s="1" t="n"/>
      <c r="E28" s="16" t="inlineStr">
        <is>
          <t>Monthly bills x 12 months / 52 weeks. Move this to your bills account every payday and bills are always covered.</t>
        </is>
      </c>
      <c r="F28" s="1" t="n"/>
      <c r="G28" s="1" t="n"/>
      <c r="H28" s="1" t="n"/>
      <c r="I28" s="1" t="n"/>
      <c r="J28" s="1" t="n"/>
    </row>
    <row r="29">
      <c r="A29" s="1" t="n"/>
      <c r="B29" s="15" t="inlineStr">
        <is>
          <t>Bills due in the next 7 days</t>
        </is>
      </c>
      <c r="C29" s="23">
        <f>SUMPRODUCT((D6:D25&lt;&gt;"")*(MOD(D6:D25-DAY(TODAY()),31)&lt;7)*C6:C25)</f>
        <v/>
      </c>
      <c r="D29" s="1" t="n"/>
      <c r="E29" s="16" t="inlineStr">
        <is>
          <t>Counts bills whose due day falls within the next week (approximate around month ends).</t>
        </is>
      </c>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dataValidations count="2">
    <dataValidation sqref="D6:D25" showDropDown="0" showInputMessage="0" showErrorMessage="1" allowBlank="1" errorTitle="Day" error="Type a day of the month from 1 to 31." type="whole" operator="between">
      <formula1>1</formula1>
      <formula2>31</formula2>
    </dataValidation>
    <dataValidation sqref="C6:C25" showDropDown="0" showInputMessage="0" showErrorMessage="1" allowBlank="1" errorTitle="Numbers only" error="Type a dollar amount." type="decimal" operator="between">
      <formula1>0</formula1>
      <formula2>1000000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34" customWidth="1" min="2" max="2"/>
    <col width="20" customWidth="1" min="3" max="3"/>
    <col width="60" customWidth="1" min="4" max="4"/>
  </cols>
  <sheetData>
    <row r="1">
      <c r="A1" s="1" t="n"/>
      <c r="B1" s="1" t="n"/>
      <c r="C1" s="1" t="n"/>
      <c r="D1" s="1" t="n"/>
      <c r="E1" s="1" t="n"/>
      <c r="F1" s="1" t="n"/>
      <c r="G1" s="1" t="n"/>
      <c r="H1" s="1" t="n"/>
      <c r="I1" s="1" t="n"/>
      <c r="J1" s="1" t="n"/>
    </row>
    <row r="2">
      <c r="A2" s="1" t="n"/>
      <c r="B2" s="2" t="inlineStr">
        <is>
          <t>This Week</t>
        </is>
      </c>
      <c r="C2" s="1" t="n"/>
      <c r="D2" s="1" t="n"/>
      <c r="E2" s="1" t="n"/>
      <c r="F2" s="1" t="n"/>
      <c r="G2" s="1" t="n"/>
      <c r="H2" s="1" t="n"/>
      <c r="I2" s="1" t="n"/>
      <c r="J2" s="1" t="n"/>
    </row>
    <row r="3">
      <c r="A3" s="1" t="n"/>
      <c r="B3" s="3" t="inlineStr">
        <is>
          <t>Every payday: type one number, follow the colour.</t>
        </is>
      </c>
      <c r="C3" s="1" t="n"/>
      <c r="D3" s="1" t="n"/>
      <c r="E3" s="1" t="n"/>
      <c r="F3" s="1" t="n"/>
      <c r="G3" s="1" t="n"/>
      <c r="H3" s="1" t="n"/>
      <c r="I3" s="1" t="n"/>
      <c r="J3" s="1" t="n"/>
    </row>
    <row r="4">
      <c r="A4" s="1" t="n"/>
      <c r="B4" s="1" t="n"/>
      <c r="C4" s="1" t="n"/>
      <c r="D4" s="1" t="n"/>
      <c r="E4" s="1" t="n"/>
      <c r="F4" s="1" t="n"/>
      <c r="G4" s="1" t="n"/>
      <c r="H4" s="1" t="n"/>
      <c r="I4" s="1" t="n"/>
      <c r="J4" s="1" t="n"/>
    </row>
    <row r="5">
      <c r="A5" s="1" t="n"/>
      <c r="B5" s="15" t="inlineStr">
        <is>
          <t>What I earned this week ($)</t>
        </is>
      </c>
      <c r="C5" s="24" t="n">
        <v>412</v>
      </c>
      <c r="D5" s="14" t="inlineStr">
        <is>
          <t>Example: $412. Type your take-home pay for this week.</t>
        </is>
      </c>
      <c r="E5" s="1" t="n"/>
      <c r="F5" s="1" t="n"/>
      <c r="G5" s="1" t="n"/>
      <c r="H5" s="1" t="n"/>
      <c r="I5" s="1" t="n"/>
      <c r="J5" s="1" t="n"/>
    </row>
    <row r="6">
      <c r="A6" s="1" t="n"/>
      <c r="B6" s="1" t="n"/>
      <c r="C6" s="1" t="n"/>
      <c r="D6" s="1" t="n"/>
      <c r="E6" s="1" t="n"/>
      <c r="F6" s="1" t="n"/>
      <c r="G6" s="1" t="n"/>
      <c r="H6" s="1" t="n"/>
      <c r="I6" s="1" t="n"/>
      <c r="J6" s="1" t="n"/>
    </row>
    <row r="7">
      <c r="A7" s="1" t="n"/>
      <c r="B7" s="12" t="inlineStr">
        <is>
          <t>Your 4 numbers</t>
        </is>
      </c>
      <c r="C7" s="12" t="inlineStr">
        <is>
          <t>Amount</t>
        </is>
      </c>
      <c r="D7" s="12" t="inlineStr">
        <is>
          <t>What to do</t>
        </is>
      </c>
      <c r="E7" s="1" t="n"/>
      <c r="F7" s="1" t="n"/>
      <c r="G7" s="1" t="n"/>
      <c r="H7" s="1" t="n"/>
      <c r="I7" s="1" t="n"/>
      <c r="J7" s="1" t="n"/>
    </row>
    <row r="8" ht="26" customHeight="1">
      <c r="A8" s="1" t="n"/>
      <c r="B8" s="15" t="inlineStr">
        <is>
          <t>1. Bills set-aside</t>
        </is>
      </c>
      <c r="C8" s="25">
        <f>IF(C5="","",Bills!$C$28)</f>
        <v/>
      </c>
      <c r="D8" s="16" t="inlineStr">
        <is>
          <t>Move this to your bills account (or envelope) first.</t>
        </is>
      </c>
      <c r="E8" s="1" t="n"/>
      <c r="F8" s="1" t="n"/>
      <c r="G8" s="1" t="n"/>
      <c r="H8" s="1" t="n"/>
      <c r="I8" s="1" t="n"/>
      <c r="J8" s="1" t="n"/>
    </row>
    <row r="9" ht="26" customHeight="1">
      <c r="A9" s="1" t="n"/>
      <c r="B9" s="15" t="inlineStr">
        <is>
          <t>2. Tax jar</t>
        </is>
      </c>
      <c r="C9" s="25">
        <f>IF(C5="","",C5*Baseline!$C$26)</f>
        <v/>
      </c>
      <c r="D9" s="16" t="inlineStr">
        <is>
          <t>Set this aside for taxes. 0 if taxes come out of your pay.</t>
        </is>
      </c>
      <c r="E9" s="1" t="n"/>
      <c r="F9" s="1" t="n"/>
      <c r="G9" s="1" t="n"/>
      <c r="H9" s="1" t="n"/>
      <c r="I9" s="1" t="n"/>
      <c r="J9" s="1" t="n"/>
    </row>
    <row r="10" ht="26" customHeight="1">
      <c r="A10" s="1" t="n"/>
      <c r="B10" s="15" t="inlineStr">
        <is>
          <t>3. Safe to spend</t>
        </is>
      </c>
      <c r="C10" s="25">
        <f>IF(C5="","",IF(C11&gt;=0,Baseline!$C$22,MAX(0,MIN(Baseline!$C$22,Baseline!$C$22+C11+C13))))</f>
        <v/>
      </c>
      <c r="D10" s="16" t="inlineStr">
        <is>
          <t>Groceries, gas, fun. Spend this and no more until next payday.</t>
        </is>
      </c>
      <c r="E10" s="1" t="n"/>
      <c r="F10" s="1" t="n"/>
      <c r="G10" s="1" t="n"/>
      <c r="H10" s="1" t="n"/>
      <c r="I10" s="1" t="n"/>
      <c r="J10" s="1" t="n"/>
    </row>
    <row r="11" ht="26" customHeight="1">
      <c r="A11" s="1" t="n"/>
      <c r="B11" s="15" t="inlineStr">
        <is>
          <t>4. Cushion: add (+) or take (-)</t>
        </is>
      </c>
      <c r="C11" s="25">
        <f>IF(C5="","",C5-C8-C9-Baseline!$C$22)</f>
        <v/>
      </c>
      <c r="D11" s="16" t="inlineStr">
        <is>
          <t>Positive: add it to your cushion. Negative: take it from your cushion.</t>
        </is>
      </c>
      <c r="E11" s="1" t="n"/>
      <c r="F11" s="1" t="n"/>
      <c r="G11" s="1" t="n"/>
      <c r="H11" s="1" t="n"/>
      <c r="I11" s="1" t="n"/>
      <c r="J11" s="1" t="n"/>
    </row>
    <row r="12">
      <c r="A12" s="1" t="n"/>
      <c r="B12" s="1" t="n"/>
      <c r="C12" s="1" t="n"/>
      <c r="D12" s="1" t="n"/>
      <c r="E12" s="1" t="n"/>
      <c r="F12" s="1" t="n"/>
      <c r="G12" s="1" t="n"/>
      <c r="H12" s="1" t="n"/>
      <c r="I12" s="1" t="n"/>
      <c r="J12" s="1" t="n"/>
    </row>
    <row r="13">
      <c r="A13" s="1" t="n"/>
      <c r="B13" s="8" t="inlineStr">
        <is>
          <t>Cushion before this payday</t>
        </is>
      </c>
      <c r="C13" s="13">
        <f>Baseline!$C$27+SUM('Year View'!H6:H57)</f>
        <v/>
      </c>
      <c r="D13" s="16" t="inlineStr">
        <is>
          <t>Comes from Year View. Log each week there after you've moved the money.</t>
        </is>
      </c>
      <c r="E13" s="1" t="n"/>
      <c r="F13" s="1" t="n"/>
      <c r="G13" s="1" t="n"/>
      <c r="H13" s="1" t="n"/>
      <c r="I13" s="1" t="n"/>
      <c r="J13" s="1" t="n"/>
    </row>
    <row r="14">
      <c r="A14" s="1" t="n"/>
      <c r="B14" s="8" t="inlineStr">
        <is>
          <t>Cushion after this payday</t>
        </is>
      </c>
      <c r="C14" s="13">
        <f>IF(C5="","",C13+C11)</f>
        <v/>
      </c>
      <c r="D14" s="1" t="n"/>
      <c r="E14" s="1" t="n"/>
      <c r="F14" s="1" t="n"/>
      <c r="G14" s="1" t="n"/>
      <c r="H14" s="1" t="n"/>
      <c r="I14" s="1" t="n"/>
      <c r="J14" s="1" t="n"/>
    </row>
    <row r="15">
      <c r="A15" s="1" t="n"/>
      <c r="B15" s="1" t="n"/>
      <c r="C15" s="1" t="n"/>
      <c r="D15" s="1" t="n"/>
      <c r="E15" s="1" t="n"/>
      <c r="F15" s="1" t="n"/>
      <c r="G15" s="1" t="n"/>
      <c r="H15" s="1" t="n"/>
      <c r="I15" s="1" t="n"/>
      <c r="J15" s="1" t="n"/>
    </row>
    <row r="16" ht="48" customHeight="1">
      <c r="A16" s="1" t="n"/>
      <c r="B16" s="26">
        <f>IF(C5="","Type what you earned this week in the box above.",IF(C11&gt;=0,"GREEN: You're fine. Bills are covered. Add "&amp;TEXT(C11,"$#,##0.00")&amp;" to your cushion.",IF(C13+C11&gt;=0,"YELLOW: Slow week. Take "&amp;TEXT(-C11,"$#,##0.00")&amp;" from your cushion. That's what it's for.","RED: Your cushion can't cover this week. Pay bills first and spend only "&amp;TEXT(C10,"$#,##0.00")&amp;".")))</f>
        <v/>
      </c>
      <c r="E16" s="1" t="n"/>
      <c r="F16" s="1" t="n"/>
      <c r="G16" s="1" t="n"/>
      <c r="H16" s="1" t="n"/>
      <c r="I16" s="1" t="n"/>
      <c r="J16" s="1" t="n"/>
    </row>
    <row r="17">
      <c r="A17" s="1" t="n"/>
      <c r="B17" s="1" t="n"/>
      <c r="C17" s="1" t="n"/>
      <c r="D17" s="1" t="n"/>
      <c r="E17" s="1" t="n"/>
      <c r="F17" s="1" t="n"/>
      <c r="G17" s="1" t="n"/>
      <c r="H17" s="1" t="n"/>
      <c r="I17" s="1" t="n"/>
      <c r="J17" s="1" t="n"/>
    </row>
    <row r="18" ht="30" customHeight="1">
      <c r="A18" s="1" t="n"/>
      <c r="B18" s="16" t="inlineStr">
        <is>
          <t>How it works: your safe weekly number covers bills, tax jar and a steady spending allowance. Good weeks fill the cushion, slow weeks take from it, so your spending stays the same every week.</t>
        </is>
      </c>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mergeCells count="2">
    <mergeCell ref="B18:D18"/>
    <mergeCell ref="B16:D16"/>
  </mergeCells>
  <conditionalFormatting sqref="B16">
    <cfRule type="expression" priority="1" dxfId="0">
      <formula>LEFT($B$16,5)="GREEN"</formula>
    </cfRule>
    <cfRule type="expression" priority="2" dxfId="1">
      <formula>LEFT($B$16,6)="YELLOW"</formula>
    </cfRule>
    <cfRule type="expression" priority="3" dxfId="2">
      <formula>LEFT($B$16,3)="RED"</formula>
    </cfRule>
  </conditionalFormatting>
  <conditionalFormatting sqref="C11">
    <cfRule type="expression" priority="4" dxfId="1">
      <formula>AND(ISNUMBER($C$11),$C$11&lt;0)</formula>
    </cfRule>
    <cfRule type="expression" priority="5" dxfId="0">
      <formula>AND(ISNUMBER($C$11),$C$11&gt;=0)</formula>
    </cfRule>
  </conditionalFormatting>
  <dataValidations count="1">
    <dataValidation sqref="C5" showDropDown="0" showInputMessage="0" showErrorMessage="1" allowBlank="1" errorTitle="Numbers only" error="Type a dollar amount, like 412." type="decimal" operator="between">
      <formula1>0</formula1>
      <formula2>1000000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9"/>
  <sheetViews>
    <sheetView showGridLines="0" workbookViewId="0">
      <selection activeCell="A1" sqref="A1"/>
    </sheetView>
  </sheetViews>
  <sheetFormatPr baseColWidth="8" defaultRowHeight="15"/>
  <cols>
    <col width="3" customWidth="1" min="1" max="1"/>
    <col width="8" customWidth="1" min="2" max="2"/>
    <col width="14" customWidth="1" min="3" max="3"/>
    <col width="16" customWidth="1" min="4" max="4"/>
    <col width="14" customWidth="1" min="5" max="5"/>
    <col width="15" customWidth="1" min="6" max="6"/>
    <col width="15" customWidth="1" min="7" max="7"/>
    <col width="18" customWidth="1" min="8" max="8"/>
    <col width="16" customWidth="1" min="9" max="9"/>
    <col width="30" customWidth="1" min="11" max="11"/>
  </cols>
  <sheetData>
    <row r="1">
      <c r="A1" s="1" t="n"/>
      <c r="B1" s="1" t="n"/>
      <c r="C1" s="1" t="n"/>
      <c r="D1" s="1" t="n"/>
      <c r="E1" s="1" t="n"/>
      <c r="F1" s="1" t="n"/>
      <c r="G1" s="1" t="n"/>
      <c r="H1" s="1" t="n"/>
      <c r="I1" s="1" t="n"/>
      <c r="J1" s="1" t="n"/>
    </row>
    <row r="2">
      <c r="A2" s="1" t="n"/>
      <c r="B2" s="2" t="inlineStr">
        <is>
          <t>Year View</t>
        </is>
      </c>
      <c r="C2" s="1" t="n"/>
      <c r="D2" s="1" t="n"/>
      <c r="E2" s="1" t="n"/>
      <c r="F2" s="1" t="n"/>
      <c r="G2" s="1" t="n"/>
      <c r="H2" s="1" t="n"/>
      <c r="I2" s="1" t="n"/>
      <c r="J2" s="1" t="n"/>
    </row>
    <row r="3">
      <c r="A3" s="1" t="n"/>
      <c r="B3" s="3" t="inlineStr">
        <is>
          <t>Log every week here after payday. Your cushion balance updates by itself.</t>
        </is>
      </c>
      <c r="C3" s="1" t="n"/>
      <c r="D3" s="1" t="n"/>
      <c r="E3" s="1" t="n"/>
      <c r="F3" s="1" t="n"/>
      <c r="G3" s="1" t="n"/>
      <c r="H3" s="1" t="n"/>
      <c r="I3" s="1" t="n"/>
      <c r="J3" s="1" t="n"/>
    </row>
    <row r="4">
      <c r="A4" s="1" t="n"/>
      <c r="B4" s="1" t="n"/>
      <c r="C4" s="1" t="n"/>
      <c r="D4" s="1" t="n"/>
      <c r="E4" s="1" t="n"/>
      <c r="F4" s="1" t="n"/>
      <c r="G4" s="1" t="n"/>
      <c r="H4" s="1" t="n"/>
      <c r="I4" s="1" t="n"/>
      <c r="J4" s="1" t="n"/>
    </row>
    <row r="5" ht="32" customHeight="1">
      <c r="A5" s="1" t="n"/>
      <c r="B5" s="12" t="inlineStr">
        <is>
          <t>Week</t>
        </is>
      </c>
      <c r="C5" s="12" t="inlineStr">
        <is>
          <t>Week starting</t>
        </is>
      </c>
      <c r="D5" s="12" t="inlineStr">
        <is>
          <t>Take-home pay</t>
        </is>
      </c>
      <c r="E5" s="12" t="inlineStr">
        <is>
          <t>Tax jar</t>
        </is>
      </c>
      <c r="F5" s="12" t="inlineStr">
        <is>
          <t>Bills set-aside</t>
        </is>
      </c>
      <c r="G5" s="12" t="inlineStr">
        <is>
          <t>Safe to spend</t>
        </is>
      </c>
      <c r="H5" s="12" t="inlineStr">
        <is>
          <t>Cushion + / -</t>
        </is>
      </c>
      <c r="I5" s="12" t="inlineStr">
        <is>
          <t>Cushion balance</t>
        </is>
      </c>
      <c r="J5" s="1" t="n"/>
    </row>
    <row r="6">
      <c r="A6" s="1" t="n"/>
      <c r="B6" s="8" t="n">
        <v>1</v>
      </c>
      <c r="C6" s="27" t="n"/>
      <c r="D6" s="13" t="n">
        <v>620</v>
      </c>
      <c r="E6" s="28">
        <f>IF(D6="","",D6*Baseline!$C$26)</f>
        <v/>
      </c>
      <c r="F6" s="28">
        <f>IF(D6="","",Bills!$C$28)</f>
        <v/>
      </c>
      <c r="G6" s="28">
        <f>IF(D6="","",Baseline!$C$22)</f>
        <v/>
      </c>
      <c r="H6" s="28">
        <f>IF(D6="","",D6-E6-F6-G6)</f>
        <v/>
      </c>
      <c r="I6" s="28">
        <f>IF(D6="","",Baseline!$C$27+SUM(H$6:H6))</f>
        <v/>
      </c>
      <c r="J6" s="1" t="n"/>
      <c r="K6" s="29" t="inlineStr">
        <is>
          <t>Example: 4 weeks filled in. Replace with yours.</t>
        </is>
      </c>
    </row>
    <row r="7">
      <c r="A7" s="1" t="n"/>
      <c r="B7" s="8" t="n">
        <v>2</v>
      </c>
      <c r="C7" s="27" t="n"/>
      <c r="D7" s="13" t="n">
        <v>380</v>
      </c>
      <c r="E7" s="28">
        <f>IF(D7="","",D7*Baseline!$C$26)</f>
        <v/>
      </c>
      <c r="F7" s="28">
        <f>IF(D7="","",Bills!$C$28)</f>
        <v/>
      </c>
      <c r="G7" s="28">
        <f>IF(D7="","",Baseline!$C$22)</f>
        <v/>
      </c>
      <c r="H7" s="28">
        <f>IF(D7="","",D7-E7-F7-G7)</f>
        <v/>
      </c>
      <c r="I7" s="28">
        <f>IF(D7="","",Baseline!$C$27+SUM(H$6:H7))</f>
        <v/>
      </c>
      <c r="J7" s="1" t="n"/>
    </row>
    <row r="8">
      <c r="A8" s="1" t="n"/>
      <c r="B8" s="8" t="n">
        <v>3</v>
      </c>
      <c r="C8" s="27" t="n"/>
      <c r="D8" s="13" t="n">
        <v>540</v>
      </c>
      <c r="E8" s="28">
        <f>IF(D8="","",D8*Baseline!$C$26)</f>
        <v/>
      </c>
      <c r="F8" s="28">
        <f>IF(D8="","",Bills!$C$28)</f>
        <v/>
      </c>
      <c r="G8" s="28">
        <f>IF(D8="","",Baseline!$C$22)</f>
        <v/>
      </c>
      <c r="H8" s="28">
        <f>IF(D8="","",D8-E8-F8-G8)</f>
        <v/>
      </c>
      <c r="I8" s="28">
        <f>IF(D8="","",Baseline!$C$27+SUM(H$6:H8))</f>
        <v/>
      </c>
      <c r="J8" s="1" t="n"/>
    </row>
    <row r="9">
      <c r="A9" s="1" t="n"/>
      <c r="B9" s="8" t="n">
        <v>4</v>
      </c>
      <c r="C9" s="27" t="n"/>
      <c r="D9" s="13" t="n">
        <v>290</v>
      </c>
      <c r="E9" s="28">
        <f>IF(D9="","",D9*Baseline!$C$26)</f>
        <v/>
      </c>
      <c r="F9" s="28">
        <f>IF(D9="","",Bills!$C$28)</f>
        <v/>
      </c>
      <c r="G9" s="28">
        <f>IF(D9="","",Baseline!$C$22)</f>
        <v/>
      </c>
      <c r="H9" s="28">
        <f>IF(D9="","",D9-E9-F9-G9)</f>
        <v/>
      </c>
      <c r="I9" s="28">
        <f>IF(D9="","",Baseline!$C$27+SUM(H$6:H9))</f>
        <v/>
      </c>
      <c r="J9" s="1" t="n"/>
    </row>
    <row r="10">
      <c r="A10" s="1" t="n"/>
      <c r="B10" s="8" t="n">
        <v>5</v>
      </c>
      <c r="C10" s="27" t="n"/>
      <c r="D10" s="13" t="n"/>
      <c r="E10" s="28">
        <f>IF(D10="","",D10*Baseline!$C$26)</f>
        <v/>
      </c>
      <c r="F10" s="28">
        <f>IF(D10="","",Bills!$C$28)</f>
        <v/>
      </c>
      <c r="G10" s="28">
        <f>IF(D10="","",Baseline!$C$22)</f>
        <v/>
      </c>
      <c r="H10" s="28">
        <f>IF(D10="","",D10-E10-F10-G10)</f>
        <v/>
      </c>
      <c r="I10" s="28">
        <f>IF(D10="","",Baseline!$C$27+SUM(H$6:H10))</f>
        <v/>
      </c>
      <c r="J10" s="1" t="n"/>
    </row>
    <row r="11">
      <c r="A11" s="1" t="n"/>
      <c r="B11" s="8" t="n">
        <v>6</v>
      </c>
      <c r="C11" s="27" t="n"/>
      <c r="D11" s="13" t="n"/>
      <c r="E11" s="28">
        <f>IF(D11="","",D11*Baseline!$C$26)</f>
        <v/>
      </c>
      <c r="F11" s="28">
        <f>IF(D11="","",Bills!$C$28)</f>
        <v/>
      </c>
      <c r="G11" s="28">
        <f>IF(D11="","",Baseline!$C$22)</f>
        <v/>
      </c>
      <c r="H11" s="28">
        <f>IF(D11="","",D11-E11-F11-G11)</f>
        <v/>
      </c>
      <c r="I11" s="28">
        <f>IF(D11="","",Baseline!$C$27+SUM(H$6:H11))</f>
        <v/>
      </c>
      <c r="J11" s="1" t="n"/>
    </row>
    <row r="12">
      <c r="A12" s="1" t="n"/>
      <c r="B12" s="8" t="n">
        <v>7</v>
      </c>
      <c r="C12" s="27" t="n"/>
      <c r="D12" s="13" t="n"/>
      <c r="E12" s="28">
        <f>IF(D12="","",D12*Baseline!$C$26)</f>
        <v/>
      </c>
      <c r="F12" s="28">
        <f>IF(D12="","",Bills!$C$28)</f>
        <v/>
      </c>
      <c r="G12" s="28">
        <f>IF(D12="","",Baseline!$C$22)</f>
        <v/>
      </c>
      <c r="H12" s="28">
        <f>IF(D12="","",D12-E12-F12-G12)</f>
        <v/>
      </c>
      <c r="I12" s="28">
        <f>IF(D12="","",Baseline!$C$27+SUM(H$6:H12))</f>
        <v/>
      </c>
      <c r="J12" s="1" t="n"/>
    </row>
    <row r="13">
      <c r="A13" s="1" t="n"/>
      <c r="B13" s="8" t="n">
        <v>8</v>
      </c>
      <c r="C13" s="27" t="n"/>
      <c r="D13" s="13" t="n"/>
      <c r="E13" s="28">
        <f>IF(D13="","",D13*Baseline!$C$26)</f>
        <v/>
      </c>
      <c r="F13" s="28">
        <f>IF(D13="","",Bills!$C$28)</f>
        <v/>
      </c>
      <c r="G13" s="28">
        <f>IF(D13="","",Baseline!$C$22)</f>
        <v/>
      </c>
      <c r="H13" s="28">
        <f>IF(D13="","",D13-E13-F13-G13)</f>
        <v/>
      </c>
      <c r="I13" s="28">
        <f>IF(D13="","",Baseline!$C$27+SUM(H$6:H13))</f>
        <v/>
      </c>
      <c r="J13" s="1" t="n"/>
    </row>
    <row r="14">
      <c r="A14" s="1" t="n"/>
      <c r="B14" s="8" t="n">
        <v>9</v>
      </c>
      <c r="C14" s="27" t="n"/>
      <c r="D14" s="13" t="n"/>
      <c r="E14" s="28">
        <f>IF(D14="","",D14*Baseline!$C$26)</f>
        <v/>
      </c>
      <c r="F14" s="28">
        <f>IF(D14="","",Bills!$C$28)</f>
        <v/>
      </c>
      <c r="G14" s="28">
        <f>IF(D14="","",Baseline!$C$22)</f>
        <v/>
      </c>
      <c r="H14" s="28">
        <f>IF(D14="","",D14-E14-F14-G14)</f>
        <v/>
      </c>
      <c r="I14" s="28">
        <f>IF(D14="","",Baseline!$C$27+SUM(H$6:H14))</f>
        <v/>
      </c>
      <c r="J14" s="1" t="n"/>
    </row>
    <row r="15">
      <c r="A15" s="1" t="n"/>
      <c r="B15" s="8" t="n">
        <v>10</v>
      </c>
      <c r="C15" s="27" t="n"/>
      <c r="D15" s="13" t="n"/>
      <c r="E15" s="28">
        <f>IF(D15="","",D15*Baseline!$C$26)</f>
        <v/>
      </c>
      <c r="F15" s="28">
        <f>IF(D15="","",Bills!$C$28)</f>
        <v/>
      </c>
      <c r="G15" s="28">
        <f>IF(D15="","",Baseline!$C$22)</f>
        <v/>
      </c>
      <c r="H15" s="28">
        <f>IF(D15="","",D15-E15-F15-G15)</f>
        <v/>
      </c>
      <c r="I15" s="28">
        <f>IF(D15="","",Baseline!$C$27+SUM(H$6:H15))</f>
        <v/>
      </c>
      <c r="J15" s="1" t="n"/>
    </row>
    <row r="16">
      <c r="A16" s="1" t="n"/>
      <c r="B16" s="8" t="n">
        <v>11</v>
      </c>
      <c r="C16" s="27" t="n"/>
      <c r="D16" s="13" t="n"/>
      <c r="E16" s="28">
        <f>IF(D16="","",D16*Baseline!$C$26)</f>
        <v/>
      </c>
      <c r="F16" s="28">
        <f>IF(D16="","",Bills!$C$28)</f>
        <v/>
      </c>
      <c r="G16" s="28">
        <f>IF(D16="","",Baseline!$C$22)</f>
        <v/>
      </c>
      <c r="H16" s="28">
        <f>IF(D16="","",D16-E16-F16-G16)</f>
        <v/>
      </c>
      <c r="I16" s="28">
        <f>IF(D16="","",Baseline!$C$27+SUM(H$6:H16))</f>
        <v/>
      </c>
      <c r="J16" s="1" t="n"/>
    </row>
    <row r="17">
      <c r="A17" s="1" t="n"/>
      <c r="B17" s="8" t="n">
        <v>12</v>
      </c>
      <c r="C17" s="27" t="n"/>
      <c r="D17" s="13" t="n"/>
      <c r="E17" s="28">
        <f>IF(D17="","",D17*Baseline!$C$26)</f>
        <v/>
      </c>
      <c r="F17" s="28">
        <f>IF(D17="","",Bills!$C$28)</f>
        <v/>
      </c>
      <c r="G17" s="28">
        <f>IF(D17="","",Baseline!$C$22)</f>
        <v/>
      </c>
      <c r="H17" s="28">
        <f>IF(D17="","",D17-E17-F17-G17)</f>
        <v/>
      </c>
      <c r="I17" s="28">
        <f>IF(D17="","",Baseline!$C$27+SUM(H$6:H17))</f>
        <v/>
      </c>
      <c r="J17" s="1" t="n"/>
    </row>
    <row r="18">
      <c r="A18" s="1" t="n"/>
      <c r="B18" s="8" t="n">
        <v>13</v>
      </c>
      <c r="C18" s="27" t="n"/>
      <c r="D18" s="13" t="n"/>
      <c r="E18" s="28">
        <f>IF(D18="","",D18*Baseline!$C$26)</f>
        <v/>
      </c>
      <c r="F18" s="28">
        <f>IF(D18="","",Bills!$C$28)</f>
        <v/>
      </c>
      <c r="G18" s="28">
        <f>IF(D18="","",Baseline!$C$22)</f>
        <v/>
      </c>
      <c r="H18" s="28">
        <f>IF(D18="","",D18-E18-F18-G18)</f>
        <v/>
      </c>
      <c r="I18" s="28">
        <f>IF(D18="","",Baseline!$C$27+SUM(H$6:H18))</f>
        <v/>
      </c>
      <c r="J18" s="1" t="n"/>
    </row>
    <row r="19">
      <c r="A19" s="1" t="n"/>
      <c r="B19" s="8" t="n">
        <v>14</v>
      </c>
      <c r="C19" s="27" t="n"/>
      <c r="D19" s="13" t="n"/>
      <c r="E19" s="28">
        <f>IF(D19="","",D19*Baseline!$C$26)</f>
        <v/>
      </c>
      <c r="F19" s="28">
        <f>IF(D19="","",Bills!$C$28)</f>
        <v/>
      </c>
      <c r="G19" s="28">
        <f>IF(D19="","",Baseline!$C$22)</f>
        <v/>
      </c>
      <c r="H19" s="28">
        <f>IF(D19="","",D19-E19-F19-G19)</f>
        <v/>
      </c>
      <c r="I19" s="28">
        <f>IF(D19="","",Baseline!$C$27+SUM(H$6:H19))</f>
        <v/>
      </c>
      <c r="J19" s="1" t="n"/>
    </row>
    <row r="20">
      <c r="A20" s="1" t="n"/>
      <c r="B20" s="8" t="n">
        <v>15</v>
      </c>
      <c r="C20" s="27" t="n"/>
      <c r="D20" s="13" t="n"/>
      <c r="E20" s="28">
        <f>IF(D20="","",D20*Baseline!$C$26)</f>
        <v/>
      </c>
      <c r="F20" s="28">
        <f>IF(D20="","",Bills!$C$28)</f>
        <v/>
      </c>
      <c r="G20" s="28">
        <f>IF(D20="","",Baseline!$C$22)</f>
        <v/>
      </c>
      <c r="H20" s="28">
        <f>IF(D20="","",D20-E20-F20-G20)</f>
        <v/>
      </c>
      <c r="I20" s="28">
        <f>IF(D20="","",Baseline!$C$27+SUM(H$6:H20))</f>
        <v/>
      </c>
      <c r="J20" s="1" t="n"/>
    </row>
    <row r="21">
      <c r="A21" s="1" t="n"/>
      <c r="B21" s="8" t="n">
        <v>16</v>
      </c>
      <c r="C21" s="27" t="n"/>
      <c r="D21" s="13" t="n"/>
      <c r="E21" s="28">
        <f>IF(D21="","",D21*Baseline!$C$26)</f>
        <v/>
      </c>
      <c r="F21" s="28">
        <f>IF(D21="","",Bills!$C$28)</f>
        <v/>
      </c>
      <c r="G21" s="28">
        <f>IF(D21="","",Baseline!$C$22)</f>
        <v/>
      </c>
      <c r="H21" s="28">
        <f>IF(D21="","",D21-E21-F21-G21)</f>
        <v/>
      </c>
      <c r="I21" s="28">
        <f>IF(D21="","",Baseline!$C$27+SUM(H$6:H21))</f>
        <v/>
      </c>
      <c r="J21" s="1" t="n"/>
    </row>
    <row r="22">
      <c r="A22" s="1" t="n"/>
      <c r="B22" s="8" t="n">
        <v>17</v>
      </c>
      <c r="C22" s="27" t="n"/>
      <c r="D22" s="13" t="n"/>
      <c r="E22" s="28">
        <f>IF(D22="","",D22*Baseline!$C$26)</f>
        <v/>
      </c>
      <c r="F22" s="28">
        <f>IF(D22="","",Bills!$C$28)</f>
        <v/>
      </c>
      <c r="G22" s="28">
        <f>IF(D22="","",Baseline!$C$22)</f>
        <v/>
      </c>
      <c r="H22" s="28">
        <f>IF(D22="","",D22-E22-F22-G22)</f>
        <v/>
      </c>
      <c r="I22" s="28">
        <f>IF(D22="","",Baseline!$C$27+SUM(H$6:H22))</f>
        <v/>
      </c>
      <c r="J22" s="1" t="n"/>
    </row>
    <row r="23">
      <c r="A23" s="1" t="n"/>
      <c r="B23" s="8" t="n">
        <v>18</v>
      </c>
      <c r="C23" s="27" t="n"/>
      <c r="D23" s="13" t="n"/>
      <c r="E23" s="28">
        <f>IF(D23="","",D23*Baseline!$C$26)</f>
        <v/>
      </c>
      <c r="F23" s="28">
        <f>IF(D23="","",Bills!$C$28)</f>
        <v/>
      </c>
      <c r="G23" s="28">
        <f>IF(D23="","",Baseline!$C$22)</f>
        <v/>
      </c>
      <c r="H23" s="28">
        <f>IF(D23="","",D23-E23-F23-G23)</f>
        <v/>
      </c>
      <c r="I23" s="28">
        <f>IF(D23="","",Baseline!$C$27+SUM(H$6:H23))</f>
        <v/>
      </c>
      <c r="J23" s="1" t="n"/>
    </row>
    <row r="24">
      <c r="A24" s="1" t="n"/>
      <c r="B24" s="8" t="n">
        <v>19</v>
      </c>
      <c r="C24" s="27" t="n"/>
      <c r="D24" s="13" t="n"/>
      <c r="E24" s="28">
        <f>IF(D24="","",D24*Baseline!$C$26)</f>
        <v/>
      </c>
      <c r="F24" s="28">
        <f>IF(D24="","",Bills!$C$28)</f>
        <v/>
      </c>
      <c r="G24" s="28">
        <f>IF(D24="","",Baseline!$C$22)</f>
        <v/>
      </c>
      <c r="H24" s="28">
        <f>IF(D24="","",D24-E24-F24-G24)</f>
        <v/>
      </c>
      <c r="I24" s="28">
        <f>IF(D24="","",Baseline!$C$27+SUM(H$6:H24))</f>
        <v/>
      </c>
      <c r="J24" s="1" t="n"/>
    </row>
    <row r="25">
      <c r="A25" s="1" t="n"/>
      <c r="B25" s="8" t="n">
        <v>20</v>
      </c>
      <c r="C25" s="27" t="n"/>
      <c r="D25" s="13" t="n"/>
      <c r="E25" s="28">
        <f>IF(D25="","",D25*Baseline!$C$26)</f>
        <v/>
      </c>
      <c r="F25" s="28">
        <f>IF(D25="","",Bills!$C$28)</f>
        <v/>
      </c>
      <c r="G25" s="28">
        <f>IF(D25="","",Baseline!$C$22)</f>
        <v/>
      </c>
      <c r="H25" s="28">
        <f>IF(D25="","",D25-E25-F25-G25)</f>
        <v/>
      </c>
      <c r="I25" s="28">
        <f>IF(D25="","",Baseline!$C$27+SUM(H$6:H25))</f>
        <v/>
      </c>
      <c r="J25" s="1" t="n"/>
    </row>
    <row r="26">
      <c r="A26" s="1" t="n"/>
      <c r="B26" s="8" t="n">
        <v>21</v>
      </c>
      <c r="C26" s="27" t="n"/>
      <c r="D26" s="13" t="n"/>
      <c r="E26" s="28">
        <f>IF(D26="","",D26*Baseline!$C$26)</f>
        <v/>
      </c>
      <c r="F26" s="28">
        <f>IF(D26="","",Bills!$C$28)</f>
        <v/>
      </c>
      <c r="G26" s="28">
        <f>IF(D26="","",Baseline!$C$22)</f>
        <v/>
      </c>
      <c r="H26" s="28">
        <f>IF(D26="","",D26-E26-F26-G26)</f>
        <v/>
      </c>
      <c r="I26" s="28">
        <f>IF(D26="","",Baseline!$C$27+SUM(H$6:H26))</f>
        <v/>
      </c>
      <c r="J26" s="1" t="n"/>
    </row>
    <row r="27">
      <c r="A27" s="1" t="n"/>
      <c r="B27" s="8" t="n">
        <v>22</v>
      </c>
      <c r="C27" s="27" t="n"/>
      <c r="D27" s="13" t="n"/>
      <c r="E27" s="28">
        <f>IF(D27="","",D27*Baseline!$C$26)</f>
        <v/>
      </c>
      <c r="F27" s="28">
        <f>IF(D27="","",Bills!$C$28)</f>
        <v/>
      </c>
      <c r="G27" s="28">
        <f>IF(D27="","",Baseline!$C$22)</f>
        <v/>
      </c>
      <c r="H27" s="28">
        <f>IF(D27="","",D27-E27-F27-G27)</f>
        <v/>
      </c>
      <c r="I27" s="28">
        <f>IF(D27="","",Baseline!$C$27+SUM(H$6:H27))</f>
        <v/>
      </c>
      <c r="J27" s="1" t="n"/>
    </row>
    <row r="28">
      <c r="A28" s="1" t="n"/>
      <c r="B28" s="8" t="n">
        <v>23</v>
      </c>
      <c r="C28" s="27" t="n"/>
      <c r="D28" s="13" t="n"/>
      <c r="E28" s="28">
        <f>IF(D28="","",D28*Baseline!$C$26)</f>
        <v/>
      </c>
      <c r="F28" s="28">
        <f>IF(D28="","",Bills!$C$28)</f>
        <v/>
      </c>
      <c r="G28" s="28">
        <f>IF(D28="","",Baseline!$C$22)</f>
        <v/>
      </c>
      <c r="H28" s="28">
        <f>IF(D28="","",D28-E28-F28-G28)</f>
        <v/>
      </c>
      <c r="I28" s="28">
        <f>IF(D28="","",Baseline!$C$27+SUM(H$6:H28))</f>
        <v/>
      </c>
      <c r="J28" s="1" t="n"/>
    </row>
    <row r="29">
      <c r="A29" s="1" t="n"/>
      <c r="B29" s="8" t="n">
        <v>24</v>
      </c>
      <c r="C29" s="27" t="n"/>
      <c r="D29" s="13" t="n"/>
      <c r="E29" s="28">
        <f>IF(D29="","",D29*Baseline!$C$26)</f>
        <v/>
      </c>
      <c r="F29" s="28">
        <f>IF(D29="","",Bills!$C$28)</f>
        <v/>
      </c>
      <c r="G29" s="28">
        <f>IF(D29="","",Baseline!$C$22)</f>
        <v/>
      </c>
      <c r="H29" s="28">
        <f>IF(D29="","",D29-E29-F29-G29)</f>
        <v/>
      </c>
      <c r="I29" s="28">
        <f>IF(D29="","",Baseline!$C$27+SUM(H$6:H29))</f>
        <v/>
      </c>
      <c r="J29" s="1" t="n"/>
    </row>
    <row r="30">
      <c r="A30" s="1" t="n"/>
      <c r="B30" s="8" t="n">
        <v>25</v>
      </c>
      <c r="C30" s="27" t="n"/>
      <c r="D30" s="13" t="n"/>
      <c r="E30" s="28">
        <f>IF(D30="","",D30*Baseline!$C$26)</f>
        <v/>
      </c>
      <c r="F30" s="28">
        <f>IF(D30="","",Bills!$C$28)</f>
        <v/>
      </c>
      <c r="G30" s="28">
        <f>IF(D30="","",Baseline!$C$22)</f>
        <v/>
      </c>
      <c r="H30" s="28">
        <f>IF(D30="","",D30-E30-F30-G30)</f>
        <v/>
      </c>
      <c r="I30" s="28">
        <f>IF(D30="","",Baseline!$C$27+SUM(H$6:H30))</f>
        <v/>
      </c>
      <c r="J30" s="1" t="n"/>
    </row>
    <row r="31">
      <c r="A31" s="1" t="n"/>
      <c r="B31" s="8" t="n">
        <v>26</v>
      </c>
      <c r="C31" s="27" t="n"/>
      <c r="D31" s="13" t="n"/>
      <c r="E31" s="28">
        <f>IF(D31="","",D31*Baseline!$C$26)</f>
        <v/>
      </c>
      <c r="F31" s="28">
        <f>IF(D31="","",Bills!$C$28)</f>
        <v/>
      </c>
      <c r="G31" s="28">
        <f>IF(D31="","",Baseline!$C$22)</f>
        <v/>
      </c>
      <c r="H31" s="28">
        <f>IF(D31="","",D31-E31-F31-G31)</f>
        <v/>
      </c>
      <c r="I31" s="28">
        <f>IF(D31="","",Baseline!$C$27+SUM(H$6:H31))</f>
        <v/>
      </c>
      <c r="J31" s="1" t="n"/>
    </row>
    <row r="32">
      <c r="A32" s="1" t="n"/>
      <c r="B32" s="8" t="n">
        <v>27</v>
      </c>
      <c r="C32" s="27" t="n"/>
      <c r="D32" s="13" t="n"/>
      <c r="E32" s="28">
        <f>IF(D32="","",D32*Baseline!$C$26)</f>
        <v/>
      </c>
      <c r="F32" s="28">
        <f>IF(D32="","",Bills!$C$28)</f>
        <v/>
      </c>
      <c r="G32" s="28">
        <f>IF(D32="","",Baseline!$C$22)</f>
        <v/>
      </c>
      <c r="H32" s="28">
        <f>IF(D32="","",D32-E32-F32-G32)</f>
        <v/>
      </c>
      <c r="I32" s="28">
        <f>IF(D32="","",Baseline!$C$27+SUM(H$6:H32))</f>
        <v/>
      </c>
      <c r="J32" s="1" t="n"/>
    </row>
    <row r="33">
      <c r="A33" s="1" t="n"/>
      <c r="B33" s="8" t="n">
        <v>28</v>
      </c>
      <c r="C33" s="27" t="n"/>
      <c r="D33" s="13" t="n"/>
      <c r="E33" s="28">
        <f>IF(D33="","",D33*Baseline!$C$26)</f>
        <v/>
      </c>
      <c r="F33" s="28">
        <f>IF(D33="","",Bills!$C$28)</f>
        <v/>
      </c>
      <c r="G33" s="28">
        <f>IF(D33="","",Baseline!$C$22)</f>
        <v/>
      </c>
      <c r="H33" s="28">
        <f>IF(D33="","",D33-E33-F33-G33)</f>
        <v/>
      </c>
      <c r="I33" s="28">
        <f>IF(D33="","",Baseline!$C$27+SUM(H$6:H33))</f>
        <v/>
      </c>
      <c r="J33" s="1" t="n"/>
    </row>
    <row r="34">
      <c r="A34" s="1" t="n"/>
      <c r="B34" s="8" t="n">
        <v>29</v>
      </c>
      <c r="C34" s="27" t="n"/>
      <c r="D34" s="13" t="n"/>
      <c r="E34" s="28">
        <f>IF(D34="","",D34*Baseline!$C$26)</f>
        <v/>
      </c>
      <c r="F34" s="28">
        <f>IF(D34="","",Bills!$C$28)</f>
        <v/>
      </c>
      <c r="G34" s="28">
        <f>IF(D34="","",Baseline!$C$22)</f>
        <v/>
      </c>
      <c r="H34" s="28">
        <f>IF(D34="","",D34-E34-F34-G34)</f>
        <v/>
      </c>
      <c r="I34" s="28">
        <f>IF(D34="","",Baseline!$C$27+SUM(H$6:H34))</f>
        <v/>
      </c>
      <c r="J34" s="1" t="n"/>
    </row>
    <row r="35">
      <c r="A35" s="1" t="n"/>
      <c r="B35" s="8" t="n">
        <v>30</v>
      </c>
      <c r="C35" s="27" t="n"/>
      <c r="D35" s="13" t="n"/>
      <c r="E35" s="28">
        <f>IF(D35="","",D35*Baseline!$C$26)</f>
        <v/>
      </c>
      <c r="F35" s="28">
        <f>IF(D35="","",Bills!$C$28)</f>
        <v/>
      </c>
      <c r="G35" s="28">
        <f>IF(D35="","",Baseline!$C$22)</f>
        <v/>
      </c>
      <c r="H35" s="28">
        <f>IF(D35="","",D35-E35-F35-G35)</f>
        <v/>
      </c>
      <c r="I35" s="28">
        <f>IF(D35="","",Baseline!$C$27+SUM(H$6:H35))</f>
        <v/>
      </c>
      <c r="J35" s="1" t="n"/>
    </row>
    <row r="36">
      <c r="A36" s="1" t="n"/>
      <c r="B36" s="8" t="n">
        <v>31</v>
      </c>
      <c r="C36" s="27" t="n"/>
      <c r="D36" s="13" t="n"/>
      <c r="E36" s="28">
        <f>IF(D36="","",D36*Baseline!$C$26)</f>
        <v/>
      </c>
      <c r="F36" s="28">
        <f>IF(D36="","",Bills!$C$28)</f>
        <v/>
      </c>
      <c r="G36" s="28">
        <f>IF(D36="","",Baseline!$C$22)</f>
        <v/>
      </c>
      <c r="H36" s="28">
        <f>IF(D36="","",D36-E36-F36-G36)</f>
        <v/>
      </c>
      <c r="I36" s="28">
        <f>IF(D36="","",Baseline!$C$27+SUM(H$6:H36))</f>
        <v/>
      </c>
      <c r="J36" s="1" t="n"/>
    </row>
    <row r="37">
      <c r="A37" s="1" t="n"/>
      <c r="B37" s="8" t="n">
        <v>32</v>
      </c>
      <c r="C37" s="27" t="n"/>
      <c r="D37" s="13" t="n"/>
      <c r="E37" s="28">
        <f>IF(D37="","",D37*Baseline!$C$26)</f>
        <v/>
      </c>
      <c r="F37" s="28">
        <f>IF(D37="","",Bills!$C$28)</f>
        <v/>
      </c>
      <c r="G37" s="28">
        <f>IF(D37="","",Baseline!$C$22)</f>
        <v/>
      </c>
      <c r="H37" s="28">
        <f>IF(D37="","",D37-E37-F37-G37)</f>
        <v/>
      </c>
      <c r="I37" s="28">
        <f>IF(D37="","",Baseline!$C$27+SUM(H$6:H37))</f>
        <v/>
      </c>
      <c r="J37" s="1" t="n"/>
    </row>
    <row r="38">
      <c r="A38" s="1" t="n"/>
      <c r="B38" s="8" t="n">
        <v>33</v>
      </c>
      <c r="C38" s="27" t="n"/>
      <c r="D38" s="13" t="n"/>
      <c r="E38" s="28">
        <f>IF(D38="","",D38*Baseline!$C$26)</f>
        <v/>
      </c>
      <c r="F38" s="28">
        <f>IF(D38="","",Bills!$C$28)</f>
        <v/>
      </c>
      <c r="G38" s="28">
        <f>IF(D38="","",Baseline!$C$22)</f>
        <v/>
      </c>
      <c r="H38" s="28">
        <f>IF(D38="","",D38-E38-F38-G38)</f>
        <v/>
      </c>
      <c r="I38" s="28">
        <f>IF(D38="","",Baseline!$C$27+SUM(H$6:H38))</f>
        <v/>
      </c>
      <c r="J38" s="1" t="n"/>
    </row>
    <row r="39">
      <c r="A39" s="1" t="n"/>
      <c r="B39" s="8" t="n">
        <v>34</v>
      </c>
      <c r="C39" s="27" t="n"/>
      <c r="D39" s="13" t="n"/>
      <c r="E39" s="28">
        <f>IF(D39="","",D39*Baseline!$C$26)</f>
        <v/>
      </c>
      <c r="F39" s="28">
        <f>IF(D39="","",Bills!$C$28)</f>
        <v/>
      </c>
      <c r="G39" s="28">
        <f>IF(D39="","",Baseline!$C$22)</f>
        <v/>
      </c>
      <c r="H39" s="28">
        <f>IF(D39="","",D39-E39-F39-G39)</f>
        <v/>
      </c>
      <c r="I39" s="28">
        <f>IF(D39="","",Baseline!$C$27+SUM(H$6:H39))</f>
        <v/>
      </c>
      <c r="J39" s="1" t="n"/>
    </row>
    <row r="40">
      <c r="A40" s="1" t="n"/>
      <c r="B40" s="8" t="n">
        <v>35</v>
      </c>
      <c r="C40" s="27" t="n"/>
      <c r="D40" s="13" t="n"/>
      <c r="E40" s="28">
        <f>IF(D40="","",D40*Baseline!$C$26)</f>
        <v/>
      </c>
      <c r="F40" s="28">
        <f>IF(D40="","",Bills!$C$28)</f>
        <v/>
      </c>
      <c r="G40" s="28">
        <f>IF(D40="","",Baseline!$C$22)</f>
        <v/>
      </c>
      <c r="H40" s="28">
        <f>IF(D40="","",D40-E40-F40-G40)</f>
        <v/>
      </c>
      <c r="I40" s="28">
        <f>IF(D40="","",Baseline!$C$27+SUM(H$6:H40))</f>
        <v/>
      </c>
      <c r="J40" s="1" t="n"/>
    </row>
    <row r="41">
      <c r="A41" s="1" t="n"/>
      <c r="B41" s="8" t="n">
        <v>36</v>
      </c>
      <c r="C41" s="27" t="n"/>
      <c r="D41" s="13" t="n"/>
      <c r="E41" s="28">
        <f>IF(D41="","",D41*Baseline!$C$26)</f>
        <v/>
      </c>
      <c r="F41" s="28">
        <f>IF(D41="","",Bills!$C$28)</f>
        <v/>
      </c>
      <c r="G41" s="28">
        <f>IF(D41="","",Baseline!$C$22)</f>
        <v/>
      </c>
      <c r="H41" s="28">
        <f>IF(D41="","",D41-E41-F41-G41)</f>
        <v/>
      </c>
      <c r="I41" s="28">
        <f>IF(D41="","",Baseline!$C$27+SUM(H$6:H41))</f>
        <v/>
      </c>
      <c r="J41" s="1" t="n"/>
    </row>
    <row r="42">
      <c r="A42" s="1" t="n"/>
      <c r="B42" s="8" t="n">
        <v>37</v>
      </c>
      <c r="C42" s="27" t="n"/>
      <c r="D42" s="13" t="n"/>
      <c r="E42" s="28">
        <f>IF(D42="","",D42*Baseline!$C$26)</f>
        <v/>
      </c>
      <c r="F42" s="28">
        <f>IF(D42="","",Bills!$C$28)</f>
        <v/>
      </c>
      <c r="G42" s="28">
        <f>IF(D42="","",Baseline!$C$22)</f>
        <v/>
      </c>
      <c r="H42" s="28">
        <f>IF(D42="","",D42-E42-F42-G42)</f>
        <v/>
      </c>
      <c r="I42" s="28">
        <f>IF(D42="","",Baseline!$C$27+SUM(H$6:H42))</f>
        <v/>
      </c>
      <c r="J42" s="1" t="n"/>
    </row>
    <row r="43">
      <c r="A43" s="1" t="n"/>
      <c r="B43" s="8" t="n">
        <v>38</v>
      </c>
      <c r="C43" s="27" t="n"/>
      <c r="D43" s="13" t="n"/>
      <c r="E43" s="28">
        <f>IF(D43="","",D43*Baseline!$C$26)</f>
        <v/>
      </c>
      <c r="F43" s="28">
        <f>IF(D43="","",Bills!$C$28)</f>
        <v/>
      </c>
      <c r="G43" s="28">
        <f>IF(D43="","",Baseline!$C$22)</f>
        <v/>
      </c>
      <c r="H43" s="28">
        <f>IF(D43="","",D43-E43-F43-G43)</f>
        <v/>
      </c>
      <c r="I43" s="28">
        <f>IF(D43="","",Baseline!$C$27+SUM(H$6:H43))</f>
        <v/>
      </c>
      <c r="J43" s="1" t="n"/>
    </row>
    <row r="44">
      <c r="A44" s="1" t="n"/>
      <c r="B44" s="8" t="n">
        <v>39</v>
      </c>
      <c r="C44" s="27" t="n"/>
      <c r="D44" s="13" t="n"/>
      <c r="E44" s="28">
        <f>IF(D44="","",D44*Baseline!$C$26)</f>
        <v/>
      </c>
      <c r="F44" s="28">
        <f>IF(D44="","",Bills!$C$28)</f>
        <v/>
      </c>
      <c r="G44" s="28">
        <f>IF(D44="","",Baseline!$C$22)</f>
        <v/>
      </c>
      <c r="H44" s="28">
        <f>IF(D44="","",D44-E44-F44-G44)</f>
        <v/>
      </c>
      <c r="I44" s="28">
        <f>IF(D44="","",Baseline!$C$27+SUM(H$6:H44))</f>
        <v/>
      </c>
      <c r="J44" s="1" t="n"/>
    </row>
    <row r="45">
      <c r="A45" s="1" t="n"/>
      <c r="B45" s="8" t="n">
        <v>40</v>
      </c>
      <c r="C45" s="27" t="n"/>
      <c r="D45" s="13" t="n"/>
      <c r="E45" s="28">
        <f>IF(D45="","",D45*Baseline!$C$26)</f>
        <v/>
      </c>
      <c r="F45" s="28">
        <f>IF(D45="","",Bills!$C$28)</f>
        <v/>
      </c>
      <c r="G45" s="28">
        <f>IF(D45="","",Baseline!$C$22)</f>
        <v/>
      </c>
      <c r="H45" s="28">
        <f>IF(D45="","",D45-E45-F45-G45)</f>
        <v/>
      </c>
      <c r="I45" s="28">
        <f>IF(D45="","",Baseline!$C$27+SUM(H$6:H45))</f>
        <v/>
      </c>
      <c r="J45" s="1" t="n"/>
    </row>
    <row r="46">
      <c r="A46" s="1" t="n"/>
      <c r="B46" s="8" t="n">
        <v>41</v>
      </c>
      <c r="C46" s="27" t="n"/>
      <c r="D46" s="13" t="n"/>
      <c r="E46" s="28">
        <f>IF(D46="","",D46*Baseline!$C$26)</f>
        <v/>
      </c>
      <c r="F46" s="28">
        <f>IF(D46="","",Bills!$C$28)</f>
        <v/>
      </c>
      <c r="G46" s="28">
        <f>IF(D46="","",Baseline!$C$22)</f>
        <v/>
      </c>
      <c r="H46" s="28">
        <f>IF(D46="","",D46-E46-F46-G46)</f>
        <v/>
      </c>
      <c r="I46" s="28">
        <f>IF(D46="","",Baseline!$C$27+SUM(H$6:H46))</f>
        <v/>
      </c>
      <c r="J46" s="1" t="n"/>
    </row>
    <row r="47">
      <c r="A47" s="1" t="n"/>
      <c r="B47" s="8" t="n">
        <v>42</v>
      </c>
      <c r="C47" s="27" t="n"/>
      <c r="D47" s="13" t="n"/>
      <c r="E47" s="28">
        <f>IF(D47="","",D47*Baseline!$C$26)</f>
        <v/>
      </c>
      <c r="F47" s="28">
        <f>IF(D47="","",Bills!$C$28)</f>
        <v/>
      </c>
      <c r="G47" s="28">
        <f>IF(D47="","",Baseline!$C$22)</f>
        <v/>
      </c>
      <c r="H47" s="28">
        <f>IF(D47="","",D47-E47-F47-G47)</f>
        <v/>
      </c>
      <c r="I47" s="28">
        <f>IF(D47="","",Baseline!$C$27+SUM(H$6:H47))</f>
        <v/>
      </c>
      <c r="J47" s="1" t="n"/>
    </row>
    <row r="48">
      <c r="A48" s="1" t="n"/>
      <c r="B48" s="8" t="n">
        <v>43</v>
      </c>
      <c r="C48" s="27" t="n"/>
      <c r="D48" s="13" t="n"/>
      <c r="E48" s="28">
        <f>IF(D48="","",D48*Baseline!$C$26)</f>
        <v/>
      </c>
      <c r="F48" s="28">
        <f>IF(D48="","",Bills!$C$28)</f>
        <v/>
      </c>
      <c r="G48" s="28">
        <f>IF(D48="","",Baseline!$C$22)</f>
        <v/>
      </c>
      <c r="H48" s="28">
        <f>IF(D48="","",D48-E48-F48-G48)</f>
        <v/>
      </c>
      <c r="I48" s="28">
        <f>IF(D48="","",Baseline!$C$27+SUM(H$6:H48))</f>
        <v/>
      </c>
      <c r="J48" s="1" t="n"/>
    </row>
    <row r="49">
      <c r="A49" s="1" t="n"/>
      <c r="B49" s="8" t="n">
        <v>44</v>
      </c>
      <c r="C49" s="27" t="n"/>
      <c r="D49" s="13" t="n"/>
      <c r="E49" s="28">
        <f>IF(D49="","",D49*Baseline!$C$26)</f>
        <v/>
      </c>
      <c r="F49" s="28">
        <f>IF(D49="","",Bills!$C$28)</f>
        <v/>
      </c>
      <c r="G49" s="28">
        <f>IF(D49="","",Baseline!$C$22)</f>
        <v/>
      </c>
      <c r="H49" s="28">
        <f>IF(D49="","",D49-E49-F49-G49)</f>
        <v/>
      </c>
      <c r="I49" s="28">
        <f>IF(D49="","",Baseline!$C$27+SUM(H$6:H49))</f>
        <v/>
      </c>
      <c r="J49" s="1" t="n"/>
    </row>
    <row r="50">
      <c r="A50" s="1" t="n"/>
      <c r="B50" s="8" t="n">
        <v>45</v>
      </c>
      <c r="C50" s="27" t="n"/>
      <c r="D50" s="13" t="n"/>
      <c r="E50" s="28">
        <f>IF(D50="","",D50*Baseline!$C$26)</f>
        <v/>
      </c>
      <c r="F50" s="28">
        <f>IF(D50="","",Bills!$C$28)</f>
        <v/>
      </c>
      <c r="G50" s="28">
        <f>IF(D50="","",Baseline!$C$22)</f>
        <v/>
      </c>
      <c r="H50" s="28">
        <f>IF(D50="","",D50-E50-F50-G50)</f>
        <v/>
      </c>
      <c r="I50" s="28">
        <f>IF(D50="","",Baseline!$C$27+SUM(H$6:H50))</f>
        <v/>
      </c>
      <c r="J50" s="1" t="n"/>
    </row>
    <row r="51">
      <c r="A51" s="1" t="n"/>
      <c r="B51" s="8" t="n">
        <v>46</v>
      </c>
      <c r="C51" s="27" t="n"/>
      <c r="D51" s="13" t="n"/>
      <c r="E51" s="28">
        <f>IF(D51="","",D51*Baseline!$C$26)</f>
        <v/>
      </c>
      <c r="F51" s="28">
        <f>IF(D51="","",Bills!$C$28)</f>
        <v/>
      </c>
      <c r="G51" s="28">
        <f>IF(D51="","",Baseline!$C$22)</f>
        <v/>
      </c>
      <c r="H51" s="28">
        <f>IF(D51="","",D51-E51-F51-G51)</f>
        <v/>
      </c>
      <c r="I51" s="28">
        <f>IF(D51="","",Baseline!$C$27+SUM(H$6:H51))</f>
        <v/>
      </c>
      <c r="J51" s="1" t="n"/>
    </row>
    <row r="52">
      <c r="A52" s="1" t="n"/>
      <c r="B52" s="8" t="n">
        <v>47</v>
      </c>
      <c r="C52" s="27" t="n"/>
      <c r="D52" s="13" t="n"/>
      <c r="E52" s="28">
        <f>IF(D52="","",D52*Baseline!$C$26)</f>
        <v/>
      </c>
      <c r="F52" s="28">
        <f>IF(D52="","",Bills!$C$28)</f>
        <v/>
      </c>
      <c r="G52" s="28">
        <f>IF(D52="","",Baseline!$C$22)</f>
        <v/>
      </c>
      <c r="H52" s="28">
        <f>IF(D52="","",D52-E52-F52-G52)</f>
        <v/>
      </c>
      <c r="I52" s="28">
        <f>IF(D52="","",Baseline!$C$27+SUM(H$6:H52))</f>
        <v/>
      </c>
      <c r="J52" s="1" t="n"/>
    </row>
    <row r="53">
      <c r="A53" s="1" t="n"/>
      <c r="B53" s="8" t="n">
        <v>48</v>
      </c>
      <c r="C53" s="27" t="n"/>
      <c r="D53" s="13" t="n"/>
      <c r="E53" s="28">
        <f>IF(D53="","",D53*Baseline!$C$26)</f>
        <v/>
      </c>
      <c r="F53" s="28">
        <f>IF(D53="","",Bills!$C$28)</f>
        <v/>
      </c>
      <c r="G53" s="28">
        <f>IF(D53="","",Baseline!$C$22)</f>
        <v/>
      </c>
      <c r="H53" s="28">
        <f>IF(D53="","",D53-E53-F53-G53)</f>
        <v/>
      </c>
      <c r="I53" s="28">
        <f>IF(D53="","",Baseline!$C$27+SUM(H$6:H53))</f>
        <v/>
      </c>
      <c r="J53" s="1" t="n"/>
    </row>
    <row r="54">
      <c r="A54" s="1" t="n"/>
      <c r="B54" s="8" t="n">
        <v>49</v>
      </c>
      <c r="C54" s="27" t="n"/>
      <c r="D54" s="13" t="n"/>
      <c r="E54" s="28">
        <f>IF(D54="","",D54*Baseline!$C$26)</f>
        <v/>
      </c>
      <c r="F54" s="28">
        <f>IF(D54="","",Bills!$C$28)</f>
        <v/>
      </c>
      <c r="G54" s="28">
        <f>IF(D54="","",Baseline!$C$22)</f>
        <v/>
      </c>
      <c r="H54" s="28">
        <f>IF(D54="","",D54-E54-F54-G54)</f>
        <v/>
      </c>
      <c r="I54" s="28">
        <f>IF(D54="","",Baseline!$C$27+SUM(H$6:H54))</f>
        <v/>
      </c>
      <c r="J54" s="1" t="n"/>
    </row>
    <row r="55">
      <c r="A55" s="1" t="n"/>
      <c r="B55" s="8" t="n">
        <v>50</v>
      </c>
      <c r="C55" s="27" t="n"/>
      <c r="D55" s="13" t="n"/>
      <c r="E55" s="28">
        <f>IF(D55="","",D55*Baseline!$C$26)</f>
        <v/>
      </c>
      <c r="F55" s="28">
        <f>IF(D55="","",Bills!$C$28)</f>
        <v/>
      </c>
      <c r="G55" s="28">
        <f>IF(D55="","",Baseline!$C$22)</f>
        <v/>
      </c>
      <c r="H55" s="28">
        <f>IF(D55="","",D55-E55-F55-G55)</f>
        <v/>
      </c>
      <c r="I55" s="28">
        <f>IF(D55="","",Baseline!$C$27+SUM(H$6:H55))</f>
        <v/>
      </c>
      <c r="J55" s="1" t="n"/>
    </row>
    <row r="56">
      <c r="A56" s="1" t="n"/>
      <c r="B56" s="8" t="n">
        <v>51</v>
      </c>
      <c r="C56" s="27" t="n"/>
      <c r="D56" s="13" t="n"/>
      <c r="E56" s="28">
        <f>IF(D56="","",D56*Baseline!$C$26)</f>
        <v/>
      </c>
      <c r="F56" s="28">
        <f>IF(D56="","",Bills!$C$28)</f>
        <v/>
      </c>
      <c r="G56" s="28">
        <f>IF(D56="","",Baseline!$C$22)</f>
        <v/>
      </c>
      <c r="H56" s="28">
        <f>IF(D56="","",D56-E56-F56-G56)</f>
        <v/>
      </c>
      <c r="I56" s="28">
        <f>IF(D56="","",Baseline!$C$27+SUM(H$6:H56))</f>
        <v/>
      </c>
      <c r="J56" s="1" t="n"/>
    </row>
    <row r="57">
      <c r="A57" s="1" t="n"/>
      <c r="B57" s="8" t="n">
        <v>52</v>
      </c>
      <c r="C57" s="27" t="n"/>
      <c r="D57" s="13" t="n"/>
      <c r="E57" s="28">
        <f>IF(D57="","",D57*Baseline!$C$26)</f>
        <v/>
      </c>
      <c r="F57" s="28">
        <f>IF(D57="","",Bills!$C$28)</f>
        <v/>
      </c>
      <c r="G57" s="28">
        <f>IF(D57="","",Baseline!$C$22)</f>
        <v/>
      </c>
      <c r="H57" s="28">
        <f>IF(D57="","",D57-E57-F57-G57)</f>
        <v/>
      </c>
      <c r="I57" s="28">
        <f>IF(D57="","",Baseline!$C$27+SUM(H$6:H57))</f>
        <v/>
      </c>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conditionalFormatting sqref="H6:H57">
    <cfRule type="expression" priority="1" dxfId="1">
      <formula>AND(ISNUMBER(H6),H6&lt;0)</formula>
    </cfRule>
    <cfRule type="expression" priority="2" dxfId="0">
      <formula>AND(ISNUMBER(H6),H6&gt;=0)</formula>
    </cfRule>
  </conditionalFormatting>
  <conditionalFormatting sqref="I6:I57">
    <cfRule type="expression" priority="3" dxfId="2">
      <formula>AND(ISNUMBER(I6),I6&lt;0)</formula>
    </cfRule>
  </conditionalFormatting>
  <dataValidations count="1">
    <dataValidation sqref="D6:D57" showDropDown="0" showInputMessage="0" showErrorMessage="1" allowBlank="1" errorTitle="Numbers only" error="Type a dollar amount." type="decimal" operator="between">
      <formula1>0</formula1>
      <formula2>1000000</formula2>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40" customWidth="1" min="2" max="2"/>
    <col width="18" customWidth="1" min="3" max="3"/>
    <col width="56" customWidth="1" min="4" max="4"/>
  </cols>
  <sheetData>
    <row r="1">
      <c r="A1" s="1" t="n"/>
      <c r="B1" s="1" t="n"/>
      <c r="C1" s="1" t="n"/>
      <c r="D1" s="1" t="n"/>
      <c r="E1" s="1" t="n"/>
      <c r="F1" s="1" t="n"/>
      <c r="G1" s="1" t="n"/>
      <c r="H1" s="1" t="n"/>
      <c r="I1" s="1" t="n"/>
      <c r="J1" s="1" t="n"/>
    </row>
    <row r="2">
      <c r="A2" s="1" t="n"/>
      <c r="B2" s="2" t="inlineStr">
        <is>
          <t>Cushion Tracker</t>
        </is>
      </c>
      <c r="C2" s="1" t="n"/>
      <c r="D2" s="1" t="n"/>
      <c r="E2" s="1" t="n"/>
      <c r="F2" s="1" t="n"/>
      <c r="G2" s="1" t="n"/>
      <c r="H2" s="1" t="n"/>
      <c r="I2" s="1" t="n"/>
      <c r="J2" s="1" t="n"/>
    </row>
    <row r="3">
      <c r="A3" s="1" t="n"/>
      <c r="B3" s="3" t="inlineStr">
        <is>
          <t>Your money for slow weeks, and how many slow weeks it covers.</t>
        </is>
      </c>
      <c r="C3" s="1" t="n"/>
      <c r="D3" s="1" t="n"/>
      <c r="E3" s="1" t="n"/>
      <c r="F3" s="1" t="n"/>
      <c r="G3" s="1" t="n"/>
      <c r="H3" s="1" t="n"/>
      <c r="I3" s="1" t="n"/>
      <c r="J3" s="1" t="n"/>
    </row>
    <row r="4">
      <c r="A4" s="1" t="n"/>
      <c r="B4" s="1" t="n"/>
      <c r="C4" s="1" t="n"/>
      <c r="D4" s="1" t="n"/>
      <c r="E4" s="1" t="n"/>
      <c r="F4" s="1" t="n"/>
      <c r="G4" s="1" t="n"/>
      <c r="H4" s="1" t="n"/>
      <c r="I4" s="1" t="n"/>
      <c r="J4" s="1" t="n"/>
    </row>
    <row r="5">
      <c r="A5" s="1" t="n"/>
      <c r="B5" s="15" t="inlineStr">
        <is>
          <t>Cushion balance now</t>
        </is>
      </c>
      <c r="C5" s="17">
        <f>Baseline!$C$27+SUM('Year View'!H6:H57)</f>
        <v/>
      </c>
      <c r="D5" s="16" t="inlineStr">
        <is>
          <t>Starting cushion plus every week you logged.</t>
        </is>
      </c>
      <c r="E5" s="1" t="n"/>
      <c r="F5" s="1" t="n"/>
      <c r="G5" s="1" t="n"/>
      <c r="H5" s="1" t="n"/>
      <c r="I5" s="1" t="n"/>
      <c r="J5" s="1" t="n"/>
    </row>
    <row r="6">
      <c r="A6" s="1" t="n"/>
      <c r="B6" s="15" t="inlineStr">
        <is>
          <t>Weeks of bills it covers</t>
        </is>
      </c>
      <c r="C6" s="30">
        <f>IF(Bills!$C$28=0,"",C5/Bills!$C$28)</f>
        <v/>
      </c>
      <c r="D6" s="16" t="inlineStr">
        <is>
          <t>If you earned nothing at all, bills would be covered this many weeks.</t>
        </is>
      </c>
      <c r="E6" s="1" t="n"/>
      <c r="F6" s="1" t="n"/>
      <c r="G6" s="1" t="n"/>
      <c r="H6" s="1" t="n"/>
      <c r="I6" s="1" t="n"/>
      <c r="J6" s="1" t="n"/>
    </row>
    <row r="7">
      <c r="A7" s="1" t="n"/>
      <c r="B7" s="15" t="inlineStr">
        <is>
          <t>Gap in your worst week</t>
        </is>
      </c>
      <c r="C7" s="13">
        <f>IF(COUNT(Baseline!$C$6:$C$17)=0,"",MAX(0,Bills!$C$28+Baseline!$C$22-MIN(Baseline!$C$6:$C$17)*(1-Baseline!$C$26)))</f>
        <v/>
      </c>
      <c r="D7" s="16" t="inlineStr">
        <is>
          <t>How much your lowest week falls short of bills + spending allowance.</t>
        </is>
      </c>
      <c r="E7" s="1" t="n"/>
      <c r="F7" s="1" t="n"/>
      <c r="G7" s="1" t="n"/>
      <c r="H7" s="1" t="n"/>
      <c r="I7" s="1" t="n"/>
      <c r="J7" s="1" t="n"/>
    </row>
    <row r="8">
      <c r="A8" s="1" t="n"/>
      <c r="B8" s="15" t="inlineStr">
        <is>
          <t>Worst weeks it covers in a row</t>
        </is>
      </c>
      <c r="C8" s="30">
        <f>IF(C7="","",IF(C7=0,"Every week is covered",C5/C7))</f>
        <v/>
      </c>
      <c r="D8" s="16" t="inlineStr">
        <is>
          <t>How many of your worst weeks in a row the cushion can absorb.</t>
        </is>
      </c>
      <c r="E8" s="1" t="n"/>
      <c r="F8" s="1" t="n"/>
      <c r="G8" s="1" t="n"/>
      <c r="H8" s="1" t="n"/>
      <c r="I8" s="1" t="n"/>
      <c r="J8" s="1" t="n"/>
    </row>
    <row r="9">
      <c r="A9" s="1" t="n"/>
      <c r="B9" s="1" t="n"/>
      <c r="C9" s="1" t="n"/>
      <c r="D9" s="1" t="n"/>
      <c r="E9" s="1" t="n"/>
      <c r="F9" s="1" t="n"/>
      <c r="G9" s="1" t="n"/>
      <c r="H9" s="1" t="n"/>
      <c r="I9" s="1" t="n"/>
      <c r="J9" s="1" t="n"/>
    </row>
    <row r="10">
      <c r="A10" s="1" t="n"/>
      <c r="B10" s="15" t="inlineStr">
        <is>
          <t>Cushion goal (4 weeks of bills + spending)</t>
        </is>
      </c>
      <c r="C10" s="13">
        <f>4*(Bills!$C$28+Baseline!$C$22)</f>
        <v/>
      </c>
      <c r="D10" s="16" t="inlineStr">
        <is>
          <t>A good first goal. Raise it once you get there.</t>
        </is>
      </c>
      <c r="E10" s="1" t="n"/>
      <c r="F10" s="1" t="n"/>
      <c r="G10" s="1" t="n"/>
      <c r="H10" s="1" t="n"/>
      <c r="I10" s="1" t="n"/>
      <c r="J10" s="1" t="n"/>
    </row>
    <row r="11">
      <c r="A11" s="1" t="n"/>
      <c r="B11" s="15" t="inlineStr">
        <is>
          <t>Progress to goal</t>
        </is>
      </c>
      <c r="C11" s="20">
        <f>IF(C10=0,"",MIN(1,MAX(0,C5/C10)))</f>
        <v/>
      </c>
      <c r="D11" s="16" t="inlineStr"/>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conditionalFormatting sqref="C5">
    <cfRule type="expression" priority="1" dxfId="2">
      <formula>C5&lt;0</formula>
    </cfRule>
  </conditionalFormatting>
  <conditionalFormatting sqref="C11">
    <cfRule type="expression" priority="2" dxfId="0">
      <formula>AND(ISNUMBER(C11),C11&gt;=1)</formula>
    </cfRule>
    <cfRule type="expression" priority="3" dxfId="1">
      <formula>AND(ISNUMBER(C11),C11&lt;1)</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9"/>
  <sheetViews>
    <sheetView showGridLines="0" workbookViewId="0">
      <selection activeCell="A1" sqref="A1"/>
    </sheetView>
  </sheetViews>
  <sheetFormatPr baseColWidth="8" defaultRowHeight="15"/>
  <cols>
    <col width="3" customWidth="1" min="1" max="1"/>
    <col width="44" customWidth="1" min="2" max="2"/>
    <col width="18" customWidth="1" min="3" max="3"/>
    <col width="50" customWidth="1" min="4" max="4"/>
  </cols>
  <sheetData>
    <row r="1">
      <c r="A1" s="1" t="n"/>
      <c r="B1" s="1" t="n"/>
      <c r="C1" s="1" t="n"/>
      <c r="D1" s="1" t="n"/>
      <c r="E1" s="1" t="n"/>
      <c r="F1" s="1" t="n"/>
      <c r="G1" s="1" t="n"/>
      <c r="H1" s="1" t="n"/>
      <c r="I1" s="1" t="n"/>
      <c r="J1" s="1" t="n"/>
    </row>
    <row r="2">
      <c r="A2" s="1" t="n"/>
      <c r="B2" s="2" t="inlineStr">
        <is>
          <t>Rent Week Plan</t>
        </is>
      </c>
      <c r="C2" s="1" t="n"/>
      <c r="D2" s="1" t="n"/>
      <c r="E2" s="1" t="n"/>
      <c r="F2" s="1" t="n"/>
      <c r="G2" s="1" t="n"/>
      <c r="H2" s="1" t="n"/>
      <c r="I2" s="1" t="n"/>
      <c r="J2" s="1" t="n"/>
    </row>
    <row r="3">
      <c r="A3" s="1" t="n"/>
      <c r="B3" s="3" t="inlineStr">
        <is>
          <t>Split rent across every payday so rent week is just another week.</t>
        </is>
      </c>
      <c r="C3" s="1" t="n"/>
      <c r="D3" s="1" t="n"/>
      <c r="E3" s="1" t="n"/>
      <c r="F3" s="1" t="n"/>
      <c r="G3" s="1" t="n"/>
      <c r="H3" s="1" t="n"/>
      <c r="I3" s="1" t="n"/>
      <c r="J3" s="1" t="n"/>
    </row>
    <row r="4">
      <c r="A4" s="1" t="n"/>
      <c r="B4" s="1" t="n"/>
      <c r="C4" s="1" t="n"/>
      <c r="D4" s="1" t="n"/>
      <c r="E4" s="1" t="n"/>
      <c r="F4" s="1" t="n"/>
      <c r="G4" s="1" t="n"/>
      <c r="H4" s="1" t="n"/>
      <c r="I4" s="1" t="n"/>
      <c r="J4" s="1" t="n"/>
    </row>
    <row r="5">
      <c r="A5" s="1" t="n"/>
      <c r="B5" s="8" t="inlineStr">
        <is>
          <t>Rent amount</t>
        </is>
      </c>
      <c r="C5" s="13">
        <f>Bills!C6</f>
        <v/>
      </c>
      <c r="D5" s="16" t="inlineStr">
        <is>
          <t>From the first line of Bills Calendar. Type over it if different.</t>
        </is>
      </c>
      <c r="E5" s="1" t="n"/>
      <c r="F5" s="1" t="n"/>
      <c r="G5" s="1" t="n"/>
      <c r="H5" s="1" t="n"/>
      <c r="I5" s="1" t="n"/>
      <c r="J5" s="1" t="n"/>
    </row>
    <row r="6">
      <c r="A6" s="1" t="n"/>
      <c r="B6" s="8" t="inlineStr">
        <is>
          <t>Paydays left before rent is due</t>
        </is>
      </c>
      <c r="C6" s="31" t="n">
        <v>4</v>
      </c>
      <c r="D6" s="16" t="inlineStr">
        <is>
          <t>Count your paydays between today and the due date.</t>
        </is>
      </c>
      <c r="E6" s="1" t="n"/>
      <c r="F6" s="1" t="n"/>
      <c r="G6" s="1" t="n"/>
      <c r="H6" s="1" t="n"/>
      <c r="I6" s="1" t="n"/>
      <c r="J6" s="1" t="n"/>
    </row>
    <row r="7">
      <c r="A7" s="1" t="n"/>
      <c r="B7" s="8" t="inlineStr">
        <is>
          <t>Already set aside for rent</t>
        </is>
      </c>
      <c r="C7" s="13" t="n">
        <v>300</v>
      </c>
      <c r="D7" s="16" t="inlineStr">
        <is>
          <t>Example: $300. What's already in your rent envelope.</t>
        </is>
      </c>
      <c r="E7" s="1" t="n"/>
      <c r="F7" s="1" t="n"/>
      <c r="G7" s="1" t="n"/>
      <c r="H7" s="1" t="n"/>
      <c r="I7" s="1" t="n"/>
      <c r="J7" s="1" t="n"/>
    </row>
    <row r="8">
      <c r="A8" s="1" t="n"/>
      <c r="B8" s="15" t="inlineStr">
        <is>
          <t>Still needed</t>
        </is>
      </c>
      <c r="C8" s="13">
        <f>MAX(0,C5-C7)</f>
        <v/>
      </c>
      <c r="D8" s="16" t="inlineStr"/>
      <c r="E8" s="1" t="n"/>
      <c r="F8" s="1" t="n"/>
      <c r="G8" s="1" t="n"/>
      <c r="H8" s="1" t="n"/>
      <c r="I8" s="1" t="n"/>
      <c r="J8" s="1" t="n"/>
    </row>
    <row r="9">
      <c r="A9" s="1" t="n"/>
      <c r="B9" s="15" t="inlineStr">
        <is>
          <t>Set aside each payday until rent</t>
        </is>
      </c>
      <c r="C9" s="17">
        <f>IF(C6&lt;=0,C8,C8/C6)</f>
        <v/>
      </c>
      <c r="D9" s="16" t="inlineStr">
        <is>
          <t>Move this every payday, before anything else.</t>
        </is>
      </c>
      <c r="E9" s="1" t="n"/>
      <c r="F9" s="1" t="n"/>
      <c r="G9" s="1" t="n"/>
      <c r="H9" s="1" t="n"/>
      <c r="I9" s="1" t="n"/>
      <c r="J9" s="1" t="n"/>
    </row>
    <row r="10">
      <c r="A10" s="1" t="n"/>
      <c r="B10" s="1" t="n"/>
      <c r="C10" s="1" t="n"/>
      <c r="D10" s="1" t="n"/>
      <c r="E10" s="1" t="n"/>
      <c r="F10" s="1" t="n"/>
      <c r="G10" s="1" t="n"/>
      <c r="H10" s="1" t="n"/>
      <c r="I10" s="1" t="n"/>
      <c r="J10" s="1" t="n"/>
    </row>
    <row r="11">
      <c r="A11" s="1" t="n"/>
      <c r="B11" s="1" t="n"/>
      <c r="C11" s="1" t="n"/>
      <c r="D11" s="1" t="n"/>
      <c r="E11" s="1" t="n"/>
      <c r="F11" s="1" t="n"/>
      <c r="G11" s="1" t="n"/>
      <c r="H11" s="1" t="n"/>
      <c r="I11" s="1" t="n"/>
      <c r="J11" s="1" t="n"/>
    </row>
    <row r="12">
      <c r="A12" s="1" t="n"/>
      <c r="B12" s="4" t="inlineStr">
        <is>
          <t>If rent week is tight</t>
        </is>
      </c>
      <c r="C12" s="1" t="n"/>
      <c r="D12" s="1" t="n"/>
      <c r="E12" s="1" t="n"/>
      <c r="F12" s="1" t="n"/>
      <c r="G12" s="1" t="n"/>
      <c r="H12" s="1" t="n"/>
      <c r="I12" s="1" t="n"/>
      <c r="J12" s="1" t="n"/>
    </row>
    <row r="13">
      <c r="A13" s="1" t="n"/>
      <c r="B13" s="8" t="inlineStr">
        <is>
          <t>☐  Pay rent first, the moment you have it. Everything else waits.</t>
        </is>
      </c>
      <c r="C13" s="32" t="n"/>
      <c r="D13" s="19" t="n"/>
      <c r="E13" s="1" t="n"/>
      <c r="F13" s="1" t="n"/>
      <c r="G13" s="1" t="n"/>
      <c r="H13" s="1" t="n"/>
      <c r="I13" s="1" t="n"/>
      <c r="J13" s="1" t="n"/>
    </row>
    <row r="14">
      <c r="A14" s="1" t="n"/>
      <c r="B14" s="8" t="inlineStr">
        <is>
          <t>☐  Look at Bills Calendar: can any bill move its due date to after rent? Many companies let you choose.</t>
        </is>
      </c>
      <c r="C14" s="32" t="n"/>
      <c r="D14" s="19" t="n"/>
      <c r="E14" s="1" t="n"/>
      <c r="F14" s="1" t="n"/>
      <c r="G14" s="1" t="n"/>
      <c r="H14" s="1" t="n"/>
      <c r="I14" s="1" t="n"/>
      <c r="J14" s="1" t="n"/>
    </row>
    <row r="15">
      <c r="A15" s="1" t="n"/>
      <c r="B15" s="8" t="inlineStr">
        <is>
          <t>☐  Pause one subscription this month. You can turn it back on later.</t>
        </is>
      </c>
      <c r="C15" s="32" t="n"/>
      <c r="D15" s="19" t="n"/>
      <c r="E15" s="1" t="n"/>
      <c r="F15" s="1" t="n"/>
      <c r="G15" s="1" t="n"/>
      <c r="H15" s="1" t="n"/>
      <c r="I15" s="1" t="n"/>
      <c r="J15" s="1" t="n"/>
    </row>
    <row r="16">
      <c r="A16" s="1" t="n"/>
      <c r="B16" s="8" t="inlineStr">
        <is>
          <t>☐  Use your cushion for the gap. That's what it's for, no guilt.</t>
        </is>
      </c>
      <c r="C16" s="32" t="n"/>
      <c r="D16" s="19" t="n"/>
      <c r="E16" s="1" t="n"/>
      <c r="F16" s="1" t="n"/>
      <c r="G16" s="1" t="n"/>
      <c r="H16" s="1" t="n"/>
      <c r="I16" s="1" t="n"/>
      <c r="J16" s="1" t="n"/>
    </row>
    <row r="17">
      <c r="A17" s="1" t="n"/>
      <c r="B17" s="8" t="inlineStr">
        <is>
          <t>☐  Pick up one extra shift only if you need to, and send all of it to rent.</t>
        </is>
      </c>
      <c r="C17" s="32" t="n"/>
      <c r="D17" s="19" t="n"/>
      <c r="E17" s="1" t="n"/>
      <c r="F17" s="1" t="n"/>
      <c r="G17" s="1" t="n"/>
      <c r="H17" s="1" t="n"/>
      <c r="I17" s="1" t="n"/>
      <c r="J17" s="1" t="n"/>
    </row>
    <row r="18">
      <c r="A18" s="1" t="n"/>
      <c r="B18" s="8" t="inlineStr">
        <is>
          <t>☐  Next month, start the rent slices one payday earlier.</t>
        </is>
      </c>
      <c r="C18" s="32" t="n"/>
      <c r="D18" s="19"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row r="61">
      <c r="A61" s="1" t="n"/>
      <c r="B61" s="1" t="n"/>
      <c r="C61" s="1" t="n"/>
      <c r="D61" s="1" t="n"/>
      <c r="E61" s="1" t="n"/>
      <c r="F61" s="1" t="n"/>
      <c r="G61" s="1" t="n"/>
      <c r="H61" s="1" t="n"/>
      <c r="I61" s="1" t="n"/>
      <c r="J61" s="1" t="n"/>
    </row>
    <row r="62">
      <c r="A62" s="1" t="n"/>
      <c r="B62" s="1" t="n"/>
      <c r="C62" s="1" t="n"/>
      <c r="D62" s="1" t="n"/>
      <c r="E62" s="1" t="n"/>
      <c r="F62" s="1" t="n"/>
      <c r="G62" s="1" t="n"/>
      <c r="H62" s="1" t="n"/>
      <c r="I62" s="1" t="n"/>
      <c r="J62" s="1" t="n"/>
    </row>
    <row r="63">
      <c r="A63" s="1" t="n"/>
      <c r="B63" s="1" t="n"/>
      <c r="C63" s="1" t="n"/>
      <c r="D63" s="1" t="n"/>
      <c r="E63" s="1" t="n"/>
      <c r="F63" s="1" t="n"/>
      <c r="G63" s="1" t="n"/>
      <c r="H63" s="1" t="n"/>
      <c r="I63" s="1" t="n"/>
      <c r="J63" s="1" t="n"/>
    </row>
    <row r="64">
      <c r="A64" s="1" t="n"/>
      <c r="B64" s="1" t="n"/>
      <c r="C64" s="1" t="n"/>
      <c r="D64" s="1" t="n"/>
      <c r="E64" s="1" t="n"/>
      <c r="F64" s="1" t="n"/>
      <c r="G64" s="1" t="n"/>
      <c r="H64" s="1" t="n"/>
      <c r="I64" s="1" t="n"/>
      <c r="J64" s="1" t="n"/>
    </row>
    <row r="65">
      <c r="A65" s="1" t="n"/>
      <c r="B65" s="1" t="n"/>
      <c r="C65" s="1" t="n"/>
      <c r="D65" s="1" t="n"/>
      <c r="E65" s="1" t="n"/>
      <c r="F65" s="1" t="n"/>
      <c r="G65" s="1" t="n"/>
      <c r="H65" s="1" t="n"/>
      <c r="I65" s="1" t="n"/>
      <c r="J65" s="1" t="n"/>
    </row>
    <row r="66">
      <c r="A66" s="1" t="n"/>
      <c r="B66" s="1" t="n"/>
      <c r="C66" s="1" t="n"/>
      <c r="D66" s="1" t="n"/>
      <c r="E66" s="1" t="n"/>
      <c r="F66" s="1" t="n"/>
      <c r="G66" s="1" t="n"/>
      <c r="H66" s="1" t="n"/>
      <c r="I66" s="1" t="n"/>
      <c r="J66" s="1" t="n"/>
    </row>
    <row r="67">
      <c r="A67" s="1" t="n"/>
      <c r="B67" s="1" t="n"/>
      <c r="C67" s="1" t="n"/>
      <c r="D67" s="1" t="n"/>
      <c r="E67" s="1" t="n"/>
      <c r="F67" s="1" t="n"/>
      <c r="G67" s="1" t="n"/>
      <c r="H67" s="1" t="n"/>
      <c r="I67" s="1" t="n"/>
      <c r="J67" s="1" t="n"/>
    </row>
    <row r="68">
      <c r="A68" s="1" t="n"/>
      <c r="B68" s="1" t="n"/>
      <c r="C68" s="1" t="n"/>
      <c r="D68" s="1" t="n"/>
      <c r="E68" s="1" t="n"/>
      <c r="F68" s="1" t="n"/>
      <c r="G68" s="1" t="n"/>
      <c r="H68" s="1" t="n"/>
      <c r="I68" s="1" t="n"/>
      <c r="J68" s="1" t="n"/>
    </row>
    <row r="69">
      <c r="A69" s="1" t="n"/>
      <c r="B69" s="1" t="n"/>
      <c r="C69" s="1" t="n"/>
      <c r="D69" s="1" t="n"/>
      <c r="E69" s="1" t="n"/>
      <c r="F69" s="1" t="n"/>
      <c r="G69" s="1" t="n"/>
      <c r="H69" s="1" t="n"/>
      <c r="I69" s="1" t="n"/>
      <c r="J69" s="1" t="n"/>
    </row>
  </sheetData>
  <mergeCells count="6">
    <mergeCell ref="B14:D14"/>
    <mergeCell ref="B17:D17"/>
    <mergeCell ref="B18:D18"/>
    <mergeCell ref="B13:D13"/>
    <mergeCell ref="B15:D15"/>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2026-10-17T16:33:44Z</dcterms:created>
  <dcterms:modified xmlns:dcterms="http://purl.org/dc/terms/" xmlns:xsi="http://www.w3.org/2001/XMLSchema-instance" xsi:type="dcterms:W3CDTF">2026-10-17T16:33:45Z</dcterms:modified>
</cp:coreProperties>
</file>